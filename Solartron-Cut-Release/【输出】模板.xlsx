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10-13 T4FDX300" sheetId="1" r:id="rId1"/>
  </sheets>
  <definedNames>
    <definedName name="_xlnm._FilterDatabase" localSheetId="0" hidden="1">'10-13 T4FDX300'!$AS$4:$BI$8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<sst xmlns="http://schemas.openxmlformats.org/spreadsheetml/2006/main" count="209" uniqueCount="72">
  <si>
    <r>
      <rPr>
        <sz val="9"/>
        <rFont val="Times New Roman"/>
        <charset val="134"/>
      </rPr>
      <t xml:space="preserve">                                   </t>
    </r>
    <r>
      <rPr>
        <sz val="9"/>
        <rFont val="宋体"/>
        <charset val="134"/>
      </rPr>
      <t xml:space="preserve">宁波长阳科技股份有限公司
</t>
    </r>
    <r>
      <rPr>
        <sz val="9"/>
        <rFont val="Times New Roman"/>
        <charset val="134"/>
      </rPr>
      <t xml:space="preserve">                                   NINGBO SOLARTRON TECHNOLOGY CO.,LTD.</t>
    </r>
  </si>
  <si>
    <r>
      <rPr>
        <b/>
        <sz val="9"/>
        <color indexed="8"/>
        <rFont val="Times New Roman"/>
        <charset val="134"/>
      </rPr>
      <t xml:space="preserve">                                                                                      </t>
    </r>
    <r>
      <rPr>
        <b/>
        <sz val="9"/>
        <color indexed="8"/>
        <rFont val="宋体"/>
        <charset val="134"/>
      </rPr>
      <t>生产计划（</t>
    </r>
    <r>
      <rPr>
        <b/>
        <sz val="9"/>
        <color rgb="FF000000"/>
        <rFont val="Times New Roman"/>
        <charset val="134"/>
      </rPr>
      <t xml:space="preserve">T4 FDX300   </t>
    </r>
    <r>
      <rPr>
        <b/>
        <sz val="9"/>
        <color indexed="8"/>
        <rFont val="宋体"/>
        <charset val="134"/>
      </rPr>
      <t>）</t>
    </r>
    <r>
      <rPr>
        <b/>
        <sz val="9"/>
        <color indexed="8"/>
        <rFont val="Times New Roman"/>
        <charset val="134"/>
      </rPr>
      <t xml:space="preserve">                                                            </t>
    </r>
    <r>
      <rPr>
        <b/>
        <sz val="9"/>
        <color rgb="FF000000"/>
        <rFont val="宋体"/>
        <charset val="134"/>
      </rPr>
      <t>搭切</t>
    </r>
    <r>
      <rPr>
        <b/>
        <sz val="9"/>
        <color indexed="8"/>
        <rFont val="宋体"/>
        <charset val="134"/>
      </rPr>
      <t>计划编号：四线</t>
    </r>
    <r>
      <rPr>
        <b/>
        <sz val="9"/>
        <color rgb="FF000000"/>
        <rFont val="Times New Roman"/>
        <charset val="134"/>
      </rPr>
      <t>25101704-44904</t>
    </r>
  </si>
  <si>
    <t>序号</t>
  </si>
  <si>
    <t>业务员</t>
  </si>
  <si>
    <t>编号</t>
  </si>
  <si>
    <r>
      <rPr>
        <sz val="9"/>
        <rFont val="宋体"/>
        <charset val="134"/>
      </rPr>
      <t>生产线</t>
    </r>
  </si>
  <si>
    <t>订单号</t>
  </si>
  <si>
    <t>厂内型号</t>
  </si>
  <si>
    <t>出货型号</t>
  </si>
  <si>
    <t>厚度</t>
  </si>
  <si>
    <t>宽度</t>
  </si>
  <si>
    <t>长度</t>
  </si>
  <si>
    <t>纸管</t>
  </si>
  <si>
    <t>分切卷数</t>
  </si>
  <si>
    <r>
      <rPr>
        <sz val="9"/>
        <rFont val="宋体"/>
        <charset val="134"/>
      </rPr>
      <t>平米</t>
    </r>
    <r>
      <rPr>
        <sz val="9"/>
        <rFont val="Times New Roman"/>
        <charset val="134"/>
      </rPr>
      <t xml:space="preserve">  m</t>
    </r>
    <r>
      <rPr>
        <vertAlign val="superscript"/>
        <sz val="9"/>
        <rFont val="Times New Roman"/>
        <charset val="134"/>
      </rPr>
      <t>2</t>
    </r>
  </si>
  <si>
    <t>分切产量</t>
  </si>
  <si>
    <t>电晕</t>
  </si>
  <si>
    <r>
      <rPr>
        <sz val="9"/>
        <rFont val="宋体"/>
        <charset val="134"/>
      </rPr>
      <t>工位数量</t>
    </r>
  </si>
  <si>
    <r>
      <rPr>
        <sz val="9"/>
        <rFont val="宋体"/>
        <charset val="134"/>
      </rPr>
      <t>搭切宽度</t>
    </r>
    <r>
      <rPr>
        <sz val="9"/>
        <rFont val="Times New Roman"/>
        <charset val="134"/>
      </rPr>
      <t>(mm</t>
    </r>
    <r>
      <rPr>
        <sz val="9"/>
        <rFont val="宋体"/>
        <charset val="134"/>
      </rPr>
      <t>）</t>
    </r>
  </si>
  <si>
    <t>分切车数</t>
  </si>
  <si>
    <t>有效宽度</t>
  </si>
  <si>
    <t>利用率</t>
  </si>
  <si>
    <t>薄膜厚度</t>
  </si>
  <si>
    <t>膜卷宽度</t>
  </si>
  <si>
    <t>膜卷长度</t>
  </si>
  <si>
    <t>膜卷数</t>
  </si>
  <si>
    <t>纸管长度</t>
  </si>
  <si>
    <t>膜卷重量</t>
  </si>
  <si>
    <t>膜卷直径</t>
  </si>
  <si>
    <t>涂布</t>
  </si>
  <si>
    <t>支撑板规格</t>
  </si>
  <si>
    <t>支撑板数量</t>
  </si>
  <si>
    <t>包装形式</t>
  </si>
  <si>
    <t>纸箱规格</t>
  </si>
  <si>
    <t>纸箱数量</t>
  </si>
  <si>
    <t>托盘规格</t>
  </si>
  <si>
    <t>托盘数量</t>
  </si>
  <si>
    <t>托盘类型</t>
  </si>
  <si>
    <t>客户</t>
  </si>
  <si>
    <t>备注</t>
  </si>
  <si>
    <t>μm</t>
  </si>
  <si>
    <t>mm</t>
  </si>
  <si>
    <t>m</t>
  </si>
  <si>
    <t>内径</t>
  </si>
  <si>
    <t>kg</t>
  </si>
  <si>
    <t>处理</t>
  </si>
  <si>
    <t>边料</t>
  </si>
  <si>
    <t>%</t>
  </si>
  <si>
    <t>roll</t>
  </si>
  <si>
    <t>块</t>
  </si>
  <si>
    <t>内长</t>
  </si>
  <si>
    <t>内宽</t>
  </si>
  <si>
    <t>内高</t>
  </si>
  <si>
    <r>
      <rPr>
        <sz val="9"/>
        <rFont val="宋体"/>
        <charset val="134"/>
      </rPr>
      <t>长度</t>
    </r>
    <r>
      <rPr>
        <sz val="9"/>
        <rFont val="Times New Roman"/>
        <charset val="134"/>
      </rPr>
      <t>mm</t>
    </r>
  </si>
  <si>
    <r>
      <rPr>
        <sz val="9"/>
        <rFont val="宋体"/>
        <charset val="134"/>
      </rPr>
      <t>宽度</t>
    </r>
    <r>
      <rPr>
        <sz val="9"/>
        <rFont val="Times New Roman"/>
        <charset val="134"/>
      </rPr>
      <t>mm</t>
    </r>
  </si>
  <si>
    <r>
      <rPr>
        <sz val="9"/>
        <rFont val="宋体"/>
        <charset val="134"/>
      </rPr>
      <t>泡棉</t>
    </r>
  </si>
  <si>
    <t>P</t>
  </si>
  <si>
    <t>750*750</t>
  </si>
  <si>
    <t>B2-62C2D</t>
  </si>
  <si>
    <t>-</t>
  </si>
  <si>
    <r>
      <rPr>
        <sz val="9"/>
        <rFont val="宋体"/>
        <charset val="134"/>
      </rPr>
      <t>翰邦国际</t>
    </r>
  </si>
  <si>
    <r>
      <rPr>
        <sz val="9"/>
        <rFont val="宋体"/>
        <charset val="134"/>
      </rPr>
      <t>翰邦国际有限公司（</t>
    </r>
    <r>
      <rPr>
        <sz val="9"/>
        <rFont val="Times New Roman"/>
        <charset val="134"/>
      </rPr>
      <t>HANBANG INTERNATIONAL LIMI</t>
    </r>
  </si>
  <si>
    <r>
      <rPr>
        <sz val="9"/>
        <rFont val="宋体"/>
        <charset val="134"/>
      </rPr>
      <t>反射膜</t>
    </r>
    <r>
      <rPr>
        <sz val="9"/>
        <rFont val="Times New Roman"/>
        <charset val="134"/>
      </rPr>
      <t>_T4_FDX_300_730_1000_B2-62C2D</t>
    </r>
  </si>
  <si>
    <t>翰邦国际有限公司（HANBANG INTERNATIONAL LIMI</t>
  </si>
  <si>
    <t>反射膜_T4_FDX_300_720_1000_B2-62C2D</t>
  </si>
  <si>
    <t>反射膜_T4_FDX_300_780_1000_B2-62C2D</t>
  </si>
  <si>
    <r>
      <rPr>
        <sz val="9"/>
        <rFont val="Times New Roman"/>
        <charset val="134"/>
      </rPr>
      <t>反射膜</t>
    </r>
    <r>
      <rPr>
        <sz val="9"/>
        <rFont val="Times New Roman"/>
        <charset val="134"/>
      </rPr>
      <t>_T4_FDX_300_780_1000_B2-62C2D</t>
    </r>
  </si>
  <si>
    <r>
      <rPr>
        <sz val="9"/>
        <rFont val="Times New Roman"/>
        <charset val="134"/>
      </rPr>
      <t>D</t>
    </r>
    <r>
      <rPr>
        <sz val="9"/>
        <rFont val="宋体"/>
        <charset val="134"/>
      </rPr>
      <t>类</t>
    </r>
  </si>
  <si>
    <t>反射膜_T4_FDX_300_1110_1000_B2-62C2D</t>
  </si>
  <si>
    <t>反射膜_T4_FDX_300_830_1000_B2-62C2D</t>
  </si>
  <si>
    <t>Z2-62C2D</t>
  </si>
  <si>
    <t>反射膜_T4_FDX_300_860_1000_Z2-62C2D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</si>
</sst>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32">
    <font>
      <sz val="11"/>
      <color theme="1"/>
      <name val="等线"/>
      <charset val="134"/>
      <scheme val="minor"/>
    </font>
    <font>
      <sz val="9"/>
      <name val="Times New Roman"/>
      <charset val="134"/>
    </font>
    <font>
      <sz val="9"/>
      <color theme="1"/>
      <name val="Times New Roman"/>
      <charset val="134"/>
    </font>
    <font>
      <b/>
      <sz val="9"/>
      <color indexed="8"/>
      <name val="Times New Roman"/>
      <charset val="134"/>
    </font>
    <font>
      <sz val="9"/>
      <color indexed="8"/>
      <name val="Times New Roman"/>
      <charset val="134"/>
    </font>
    <font>
      <sz val="9"/>
      <color rgb="FF262626"/>
      <name val="Times New Roman"/>
      <charset val="134"/>
    </font>
    <font>
      <b/>
      <sz val="9"/>
      <color rgb="FF000000"/>
      <name val="宋体"/>
      <charset val="134"/>
    </font>
    <font>
      <sz val="9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vertAlign val="superscript"/>
      <sz val="9"/>
      <name val="Times New Roman"/>
      <charset val="134"/>
    </font>
    <font>
      <b/>
      <sz val="9"/>
      <color indexed="8"/>
      <name val="宋体"/>
      <charset val="134"/>
    </font>
    <font>
      <b/>
      <sz val="9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8" fillId="0" borderId="0"/>
    <xf numFmtId="0" fontId="27" fillId="0" borderId="0">
      <alignment vertical="center"/>
    </xf>
  </cellStyleXfs>
  <cellXfs count="42">
    <xf numFmtId="0" fontId="0" fillId="0" borderId="0" xfId="0"/>
    <xf numFmtId="0" fontId="1" fillId="0" borderId="0" xfId="50" applyFont="1" applyAlignment="1">
      <alignment horizontal="center" vertical="center" shrinkToFit="1"/>
    </xf>
    <xf numFmtId="0" fontId="1" fillId="0" borderId="0" xfId="50" applyFont="1" applyAlignment="1">
      <alignment horizontal="center" vertical="center" wrapText="1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vertical="center" wrapText="1" shrinkToFit="1"/>
    </xf>
    <xf numFmtId="0" fontId="1" fillId="0" borderId="0" xfId="50" applyFont="1" applyAlignment="1">
      <alignment horizontal="left" vertic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1" fillId="0" borderId="1" xfId="50" applyFont="1" applyBorder="1" applyAlignment="1">
      <alignment horizontal="center" vertical="center" wrapText="1" shrinkToFit="1"/>
    </xf>
    <xf numFmtId="0" fontId="1" fillId="0" borderId="2" xfId="50" applyFont="1" applyBorder="1" applyAlignment="1">
      <alignment horizontal="center" vertical="center" wrapText="1" shrinkToFit="1"/>
    </xf>
    <xf numFmtId="0" fontId="1" fillId="0" borderId="2" xfId="52" applyFont="1" applyBorder="1" applyAlignment="1">
      <alignment horizontal="center" vertical="center" wrapText="1" shrinkToFit="1"/>
    </xf>
    <xf numFmtId="0" fontId="1" fillId="0" borderId="3" xfId="50" applyFont="1" applyBorder="1" applyAlignment="1">
      <alignment horizontal="center" vertical="center" wrapText="1" shrinkToFit="1"/>
    </xf>
    <xf numFmtId="0" fontId="1" fillId="0" borderId="3" xfId="52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1" fillId="0" borderId="1" xfId="51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horizontal="center" vertical="center" wrapText="1" shrinkToFit="1"/>
    </xf>
    <xf numFmtId="0" fontId="1" fillId="0" borderId="1" xfId="52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5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 shrinkToFit="1"/>
    </xf>
    <xf numFmtId="9" fontId="4" fillId="0" borderId="0" xfId="3" applyFont="1" applyFill="1" applyBorder="1" applyAlignment="1">
      <alignment horizontal="center" vertical="center" shrinkToFit="1"/>
    </xf>
    <xf numFmtId="9" fontId="1" fillId="0" borderId="2" xfId="3" applyFont="1" applyFill="1" applyBorder="1" applyAlignment="1">
      <alignment horizontal="center" vertical="center" wrapText="1" shrinkToFit="1"/>
    </xf>
    <xf numFmtId="9" fontId="1" fillId="0" borderId="3" xfId="3" applyFont="1" applyFill="1" applyBorder="1" applyAlignment="1">
      <alignment horizontal="center" vertical="center" wrapText="1" shrinkToFit="1"/>
    </xf>
    <xf numFmtId="0" fontId="1" fillId="0" borderId="1" xfId="52" applyFont="1" applyBorder="1" applyAlignment="1">
      <alignment horizontal="center" vertical="center" shrinkToFit="1"/>
    </xf>
    <xf numFmtId="9" fontId="1" fillId="0" borderId="1" xfId="49" applyFont="1" applyFill="1" applyBorder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177" fontId="1" fillId="0" borderId="1" xfId="52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1" fillId="0" borderId="1" xfId="50" applyFont="1" applyBorder="1" applyAlignment="1">
      <alignment horizontal="left" vertical="center" shrinkToFit="1"/>
    </xf>
    <xf numFmtId="0" fontId="1" fillId="0" borderId="2" xfId="50" applyFont="1" applyBorder="1" applyAlignment="1">
      <alignment horizontal="left" vertical="center" shrinkToFit="1"/>
    </xf>
    <xf numFmtId="0" fontId="1" fillId="0" borderId="3" xfId="50" applyFont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0" borderId="1" xfId="0" applyFont="1" applyBorder="1" applyAlignment="1">
      <alignment vertical="center" shrinkToFit="1"/>
    </xf>
    <xf numFmtId="0" fontId="7" fillId="0" borderId="1" xfId="0" applyFont="1" applyBorder="1" applyAlignment="1">
      <alignment horizontal="left" vertical="center" shrinkToFi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3" xfId="49"/>
    <cellStyle name="常规 2" xfId="50"/>
    <cellStyle name="常规 4" xfId="51"/>
    <cellStyle name="常规_长阳公司2012年销售计划（草稿）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657224</xdr:colOff>
      <xdr:row>0</xdr:row>
      <xdr:rowOff>285750</xdr:rowOff>
    </xdr:to>
    <xdr:pic>
      <xdr:nvPicPr>
        <xdr:cNvPr id="2" name="Picture 3" descr="rId1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0"/>
          <a:ext cx="276225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BH17"/>
  <sheetViews>
    <sheetView tabSelected="1" zoomScale="130" zoomScaleNormal="130" workbookViewId="0">
      <selection activeCell="O15" sqref="O15:O17"/>
    </sheetView>
  </sheetViews>
  <sheetFormatPr defaultColWidth="9" defaultRowHeight="24.95" customHeight="1"/>
  <cols>
    <col min="1" max="1" width="4" style="3" customWidth="1"/>
    <col min="2" max="2" width="9" style="3" customWidth="1"/>
    <col min="3" max="3" width="5.63333333333333" style="3" customWidth="1"/>
    <col min="4" max="4" width="9" style="3" customWidth="1"/>
    <col min="5" max="5" width="9.88333333333333" style="3" customWidth="1"/>
    <col min="6" max="7" width="6.38333333333333" style="3" customWidth="1"/>
    <col min="8" max="8" width="4.38333333333333" style="3" customWidth="1"/>
    <col min="9" max="10" width="5.13333333333333" style="3" customWidth="1"/>
    <col min="11" max="11" width="4.75" style="3" customWidth="1"/>
    <col min="12" max="12" width="4.38333333333333" style="3" customWidth="1"/>
    <col min="13" max="14" width="5.5" style="3" customWidth="1"/>
    <col min="15" max="15" width="5.88333333333333" style="4" customWidth="1"/>
    <col min="16" max="17" width="4.13333333333333" style="3" customWidth="1"/>
    <col min="18" max="23" width="4.25" style="3" customWidth="1"/>
    <col min="24" max="26" width="4.13333333333333" style="3" customWidth="1"/>
    <col min="27" max="27" width="4.63333333333333" style="3" customWidth="1"/>
    <col min="28" max="29" width="5" style="3" customWidth="1"/>
    <col min="30" max="30" width="6.13333333333333" style="3" customWidth="1"/>
    <col min="31" max="35" width="5.5" style="3" customWidth="1"/>
    <col min="36" max="36" width="5" style="3" customWidth="1"/>
    <col min="37" max="40" width="5.5" style="3" customWidth="1"/>
    <col min="41" max="41" width="7.25" style="3" customWidth="1"/>
    <col min="42" max="42" width="5.63333333333333" style="3" customWidth="1"/>
    <col min="43" max="44" width="4.75" style="3" customWidth="1"/>
    <col min="45" max="45" width="7.75" style="3" customWidth="1"/>
    <col min="46" max="46" width="5.63333333333333" style="3" customWidth="1"/>
    <col min="47" max="48" width="4.38333333333333" style="3" customWidth="1"/>
    <col min="49" max="49" width="4.88333333333333" style="3" hidden="1" customWidth="1"/>
    <col min="50" max="50" width="5.13333333333333" style="3" customWidth="1"/>
    <col min="51" max="51" width="4.38333333333333" style="3" customWidth="1"/>
    <col min="52" max="52" width="4.88333333333333" style="3" hidden="1" customWidth="1"/>
    <col min="53" max="53" width="4.13333333333333" style="3" customWidth="1"/>
    <col min="54" max="54" width="9" style="3" customWidth="1"/>
    <col min="55" max="55" width="14.75" style="3" customWidth="1"/>
    <col min="56" max="56" width="9" style="3" customWidth="1"/>
    <col min="57" max="57" width="46.8916666666667" style="3" customWidth="1"/>
    <col min="58" max="58" width="9" style="3" customWidth="1"/>
    <col min="59" max="59" width="25.6333333333333" style="3" customWidth="1"/>
    <col min="60" max="60" width="9" style="3" customWidth="1"/>
    <col min="61" max="16384" width="9" style="3"/>
  </cols>
  <sheetData>
    <row r="1" s="1" customFormat="1" customHeight="1" spans="1:5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5"/>
      <c r="BC1" s="5"/>
    </row>
    <row r="2" s="1" customFormat="1" ht="18.75" customHeight="1" spans="1:5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</row>
    <row r="3" s="1" customFormat="1" ht="12.75" customHeight="1" spans="1:5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20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2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35"/>
      <c r="BC3" s="35"/>
    </row>
    <row r="4" s="2" customFormat="1" customHeight="1" spans="1:60">
      <c r="A4" s="8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8" t="s">
        <v>7</v>
      </c>
      <c r="G4" s="8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21" t="s">
        <v>13</v>
      </c>
      <c r="M4" s="21" t="s">
        <v>14</v>
      </c>
      <c r="N4" s="10" t="s">
        <v>15</v>
      </c>
      <c r="O4" s="10" t="s">
        <v>16</v>
      </c>
      <c r="P4" s="10" t="s">
        <v>17</v>
      </c>
      <c r="Q4" s="21"/>
      <c r="R4" s="21" t="s">
        <v>18</v>
      </c>
      <c r="S4" s="21"/>
      <c r="T4" s="21"/>
      <c r="U4" s="21"/>
      <c r="V4" s="21"/>
      <c r="W4" s="21"/>
      <c r="X4" s="21"/>
      <c r="Y4" s="21"/>
      <c r="Z4" s="21"/>
      <c r="AA4" s="21" t="s">
        <v>19</v>
      </c>
      <c r="AB4" s="10" t="s">
        <v>20</v>
      </c>
      <c r="AC4" s="28" t="s">
        <v>21</v>
      </c>
      <c r="AD4" s="21" t="s">
        <v>12</v>
      </c>
      <c r="AE4" s="10" t="s">
        <v>22</v>
      </c>
      <c r="AF4" s="10" t="s">
        <v>23</v>
      </c>
      <c r="AG4" s="10" t="s">
        <v>24</v>
      </c>
      <c r="AH4" s="10" t="s">
        <v>25</v>
      </c>
      <c r="AI4" s="10" t="s">
        <v>12</v>
      </c>
      <c r="AJ4" s="8" t="s">
        <v>26</v>
      </c>
      <c r="AK4" s="9" t="s">
        <v>27</v>
      </c>
      <c r="AL4" s="9" t="s">
        <v>28</v>
      </c>
      <c r="AM4" s="9"/>
      <c r="AN4" s="9" t="s">
        <v>29</v>
      </c>
      <c r="AO4" s="9" t="s">
        <v>30</v>
      </c>
      <c r="AP4" s="9" t="s">
        <v>31</v>
      </c>
      <c r="AQ4" s="9"/>
      <c r="AR4" s="9"/>
      <c r="AS4" s="8" t="s">
        <v>32</v>
      </c>
      <c r="AT4" s="8" t="s">
        <v>33</v>
      </c>
      <c r="AU4" s="8"/>
      <c r="AV4" s="8"/>
      <c r="AW4" s="8" t="s">
        <v>34</v>
      </c>
      <c r="AX4" s="8" t="s">
        <v>35</v>
      </c>
      <c r="AY4" s="8"/>
      <c r="AZ4" s="8" t="s">
        <v>36</v>
      </c>
      <c r="BA4" s="8" t="s">
        <v>37</v>
      </c>
      <c r="BB4" s="36" t="s">
        <v>38</v>
      </c>
      <c r="BC4" s="37" t="s">
        <v>39</v>
      </c>
      <c r="BD4" s="1"/>
      <c r="BE4" s="1"/>
      <c r="BF4" s="1"/>
      <c r="BG4" s="1"/>
      <c r="BH4" s="1"/>
    </row>
    <row r="5" s="2" customFormat="1" customHeight="1" spans="1:60">
      <c r="A5" s="8"/>
      <c r="B5" s="8"/>
      <c r="C5" s="11"/>
      <c r="D5" s="11"/>
      <c r="E5" s="11"/>
      <c r="F5" s="8"/>
      <c r="G5" s="8"/>
      <c r="H5" s="12" t="s">
        <v>40</v>
      </c>
      <c r="I5" s="12" t="s">
        <v>41</v>
      </c>
      <c r="J5" s="12" t="s">
        <v>42</v>
      </c>
      <c r="K5" s="12" t="s">
        <v>43</v>
      </c>
      <c r="L5" s="21"/>
      <c r="M5" s="21"/>
      <c r="N5" s="12" t="s">
        <v>44</v>
      </c>
      <c r="O5" s="12" t="s">
        <v>45</v>
      </c>
      <c r="P5" s="12"/>
      <c r="Q5" s="21" t="s">
        <v>46</v>
      </c>
      <c r="R5" s="21">
        <v>1</v>
      </c>
      <c r="S5" s="21">
        <v>2</v>
      </c>
      <c r="T5" s="21">
        <v>3</v>
      </c>
      <c r="U5" s="21">
        <v>4</v>
      </c>
      <c r="V5" s="21">
        <v>5</v>
      </c>
      <c r="W5" s="21">
        <v>6</v>
      </c>
      <c r="X5" s="21"/>
      <c r="Y5" s="21"/>
      <c r="Z5" s="21" t="s">
        <v>46</v>
      </c>
      <c r="AA5" s="21"/>
      <c r="AB5" s="12" t="s">
        <v>41</v>
      </c>
      <c r="AC5" s="29" t="s">
        <v>47</v>
      </c>
      <c r="AD5" s="21"/>
      <c r="AE5" s="12" t="s">
        <v>40</v>
      </c>
      <c r="AF5" s="12" t="s">
        <v>41</v>
      </c>
      <c r="AG5" s="12" t="s">
        <v>42</v>
      </c>
      <c r="AH5" s="12" t="s">
        <v>48</v>
      </c>
      <c r="AI5" s="12" t="s">
        <v>43</v>
      </c>
      <c r="AJ5" s="8"/>
      <c r="AK5" s="11" t="s">
        <v>44</v>
      </c>
      <c r="AL5" s="11" t="s">
        <v>41</v>
      </c>
      <c r="AM5" s="11"/>
      <c r="AN5" s="11"/>
      <c r="AO5" s="11" t="s">
        <v>41</v>
      </c>
      <c r="AP5" s="11" t="s">
        <v>49</v>
      </c>
      <c r="AQ5" s="11"/>
      <c r="AR5" s="11"/>
      <c r="AS5" s="8"/>
      <c r="AT5" s="8" t="s">
        <v>50</v>
      </c>
      <c r="AU5" s="8" t="s">
        <v>51</v>
      </c>
      <c r="AV5" s="8" t="s">
        <v>52</v>
      </c>
      <c r="AW5" s="8"/>
      <c r="AX5" s="8" t="s">
        <v>53</v>
      </c>
      <c r="AY5" s="8" t="s">
        <v>54</v>
      </c>
      <c r="AZ5" s="8"/>
      <c r="BA5" s="8"/>
      <c r="BB5" s="36"/>
      <c r="BC5" s="38"/>
      <c r="BD5" s="1"/>
      <c r="BE5" s="1"/>
      <c r="BF5" s="1"/>
      <c r="BG5" s="1"/>
      <c r="BH5" s="1"/>
    </row>
    <row r="6" ht="20.1" customHeight="1" spans="1:60">
      <c r="A6" s="13">
        <v>1</v>
      </c>
      <c r="B6" s="14"/>
      <c r="C6" s="15"/>
      <c r="D6" s="16"/>
      <c r="E6" s="17"/>
      <c r="F6" s="18"/>
      <c r="G6" s="19"/>
      <c r="H6" s="18"/>
      <c r="I6" s="14"/>
      <c r="J6" s="14"/>
      <c r="K6" s="22"/>
      <c r="L6" s="14"/>
      <c r="M6" s="23">
        <f>L6*I6*J6/1000</f>
        <v>0</v>
      </c>
      <c r="N6" s="23">
        <f>(H6/1000000)*J6*I6*1.06*L6</f>
        <v>0</v>
      </c>
      <c r="O6" s="24"/>
      <c r="P6" s="25"/>
      <c r="Q6" s="18">
        <f>(4600-R6-S6-T6-U6-V6-W6)/2</f>
        <v>2300</v>
      </c>
      <c r="R6" s="14"/>
      <c r="S6" s="14"/>
      <c r="T6" s="14"/>
      <c r="U6" s="14"/>
      <c r="V6" s="14"/>
      <c r="W6" s="14"/>
      <c r="X6" s="18"/>
      <c r="Y6" s="18"/>
      <c r="Z6" s="18">
        <f>(4600-R6-S6-T6-U6-V6-W6)/2</f>
        <v>2300</v>
      </c>
      <c r="AA6" s="18"/>
      <c r="AB6" s="30">
        <f>R6+S6+T6+U6+V6+W6</f>
        <v>0</v>
      </c>
      <c r="AC6" s="31">
        <f>AB6/4600</f>
        <v>0</v>
      </c>
      <c r="AD6" s="30" t="s">
        <v>55</v>
      </c>
      <c r="AE6" s="18">
        <f t="shared" ref="AE6:AG17" si="0">H6</f>
        <v>0</v>
      </c>
      <c r="AF6" s="18">
        <f t="shared" si="0"/>
        <v>0</v>
      </c>
      <c r="AG6" s="18">
        <f t="shared" si="0"/>
        <v>0</v>
      </c>
      <c r="AH6" s="30">
        <f t="shared" ref="AH6:AH17" si="1">L6</f>
        <v>0</v>
      </c>
      <c r="AI6" s="30">
        <f t="shared" ref="AI6:AI17" si="2">K6</f>
        <v>0</v>
      </c>
      <c r="AJ6" s="18">
        <v>820</v>
      </c>
      <c r="AK6" s="23">
        <f t="shared" ref="AK6:AK17" si="3">AE6*AG6*AF6*1/1000000</f>
        <v>0</v>
      </c>
      <c r="AL6" s="33">
        <f t="shared" ref="AL6:AL17" si="4">SQRT(H6*J6*1.05*4/3.14+183*183)</f>
        <v>183</v>
      </c>
      <c r="AM6" s="30"/>
      <c r="AN6" s="30" t="s">
        <v>56</v>
      </c>
      <c r="AO6" s="30" t="s">
        <v>57</v>
      </c>
      <c r="AP6" s="22">
        <f t="shared" ref="AP6:AP17" si="5">AH6*2</f>
        <v>0</v>
      </c>
      <c r="AQ6" s="22"/>
      <c r="AR6" s="22"/>
      <c r="AS6" s="34" t="s">
        <v>58</v>
      </c>
      <c r="AT6" s="18" t="s">
        <v>59</v>
      </c>
      <c r="AU6" s="18" t="s">
        <v>59</v>
      </c>
      <c r="AV6" s="18" t="s">
        <v>59</v>
      </c>
      <c r="AW6" s="18" t="s">
        <v>59</v>
      </c>
      <c r="AX6" s="18">
        <v>900</v>
      </c>
      <c r="AY6" s="18">
        <v>760</v>
      </c>
      <c r="AZ6" s="18">
        <f t="shared" ref="AZ6:AZ17" si="6">ROUNDUP(AH6/2,0)</f>
        <v>0</v>
      </c>
      <c r="BA6" s="18"/>
      <c r="BB6" s="39" t="s">
        <v>60</v>
      </c>
      <c r="BC6" s="40"/>
      <c r="BD6" s="39">
        <v>10379</v>
      </c>
      <c r="BE6" s="41" t="s">
        <v>61</v>
      </c>
      <c r="BF6" s="39">
        <v>30010881</v>
      </c>
      <c r="BG6" s="39" t="s">
        <v>62</v>
      </c>
      <c r="BH6" s="34" t="s">
        <v>58</v>
      </c>
    </row>
    <row r="7" ht="20.1" customHeight="1" spans="1:60">
      <c r="A7" s="13"/>
      <c r="B7" s="14"/>
      <c r="C7" s="15"/>
      <c r="D7" s="16"/>
      <c r="E7" s="17"/>
      <c r="F7" s="18"/>
      <c r="G7" s="19"/>
      <c r="H7" s="18"/>
      <c r="I7" s="14"/>
      <c r="J7" s="14"/>
      <c r="K7" s="22"/>
      <c r="L7" s="14"/>
      <c r="M7" s="23">
        <f t="shared" ref="M6:M17" si="7">L7*I7*J7/1000</f>
        <v>0</v>
      </c>
      <c r="N7" s="23">
        <f t="shared" ref="N6:N17" si="8">(H7/1000000)*J7*I7*1.06*L7</f>
        <v>0</v>
      </c>
      <c r="O7" s="26"/>
      <c r="P7" s="25"/>
      <c r="Q7" s="18"/>
      <c r="R7" s="13"/>
      <c r="S7" s="13"/>
      <c r="T7" s="13"/>
      <c r="U7" s="13"/>
      <c r="V7" s="18"/>
      <c r="W7" s="18"/>
      <c r="X7" s="18"/>
      <c r="Y7" s="18"/>
      <c r="Z7" s="18"/>
      <c r="AA7" s="18"/>
      <c r="AB7" s="30"/>
      <c r="AC7" s="31"/>
      <c r="AD7" s="30" t="s">
        <v>55</v>
      </c>
      <c r="AE7" s="18">
        <f>H7</f>
        <v>0</v>
      </c>
      <c r="AF7" s="18">
        <f>I7</f>
        <v>0</v>
      </c>
      <c r="AG7" s="18">
        <f>J7</f>
        <v>0</v>
      </c>
      <c r="AH7" s="30">
        <f t="shared" si="1"/>
        <v>0</v>
      </c>
      <c r="AI7" s="30">
        <f t="shared" si="2"/>
        <v>0</v>
      </c>
      <c r="AJ7" s="18">
        <v>800</v>
      </c>
      <c r="AK7" s="23">
        <f t="shared" si="3"/>
        <v>0</v>
      </c>
      <c r="AL7" s="33">
        <f t="shared" si="4"/>
        <v>183</v>
      </c>
      <c r="AM7" s="30"/>
      <c r="AN7" s="30" t="s">
        <v>56</v>
      </c>
      <c r="AO7" s="30" t="s">
        <v>57</v>
      </c>
      <c r="AP7" s="22">
        <f t="shared" si="5"/>
        <v>0</v>
      </c>
      <c r="AQ7" s="22"/>
      <c r="AR7" s="22"/>
      <c r="AS7" s="34" t="s">
        <v>58</v>
      </c>
      <c r="AT7" s="18" t="s">
        <v>59</v>
      </c>
      <c r="AU7" s="18" t="s">
        <v>59</v>
      </c>
      <c r="AV7" s="18" t="s">
        <v>59</v>
      </c>
      <c r="AW7" s="18" t="s">
        <v>59</v>
      </c>
      <c r="AX7" s="18">
        <v>900</v>
      </c>
      <c r="AY7" s="18">
        <v>760</v>
      </c>
      <c r="AZ7" s="18">
        <f t="shared" si="6"/>
        <v>0</v>
      </c>
      <c r="BA7" s="18"/>
      <c r="BB7" s="39" t="s">
        <v>60</v>
      </c>
      <c r="BC7" s="40"/>
      <c r="BD7" s="39">
        <v>10379</v>
      </c>
      <c r="BE7" s="39" t="s">
        <v>63</v>
      </c>
      <c r="BF7" s="39">
        <v>30010882</v>
      </c>
      <c r="BG7" s="39" t="s">
        <v>64</v>
      </c>
      <c r="BH7" s="34" t="s">
        <v>58</v>
      </c>
    </row>
    <row r="8" ht="20.1" customHeight="1" spans="1:60">
      <c r="A8" s="13"/>
      <c r="B8" s="14"/>
      <c r="C8" s="15"/>
      <c r="D8" s="16"/>
      <c r="E8" s="17"/>
      <c r="F8" s="18"/>
      <c r="G8" s="19"/>
      <c r="H8" s="18"/>
      <c r="I8" s="14"/>
      <c r="J8" s="14"/>
      <c r="K8" s="22"/>
      <c r="L8" s="14"/>
      <c r="M8" s="23">
        <f t="shared" si="7"/>
        <v>0</v>
      </c>
      <c r="N8" s="23">
        <f t="shared" si="8"/>
        <v>0</v>
      </c>
      <c r="O8" s="26"/>
      <c r="P8" s="25"/>
      <c r="Q8" s="18"/>
      <c r="R8" s="13"/>
      <c r="S8" s="13"/>
      <c r="T8" s="13"/>
      <c r="U8" s="13"/>
      <c r="V8" s="18"/>
      <c r="W8" s="18"/>
      <c r="X8" s="18"/>
      <c r="Y8" s="18"/>
      <c r="Z8" s="18"/>
      <c r="AA8" s="18"/>
      <c r="AB8" s="30"/>
      <c r="AC8" s="31"/>
      <c r="AD8" s="30" t="s">
        <v>55</v>
      </c>
      <c r="AE8" s="18">
        <f t="shared" si="0"/>
        <v>0</v>
      </c>
      <c r="AF8" s="18">
        <f t="shared" si="0"/>
        <v>0</v>
      </c>
      <c r="AG8" s="18">
        <f t="shared" si="0"/>
        <v>0</v>
      </c>
      <c r="AH8" s="30">
        <f t="shared" si="1"/>
        <v>0</v>
      </c>
      <c r="AI8" s="30">
        <f t="shared" si="2"/>
        <v>0</v>
      </c>
      <c r="AJ8" s="18">
        <v>870</v>
      </c>
      <c r="AK8" s="23">
        <f t="shared" si="3"/>
        <v>0</v>
      </c>
      <c r="AL8" s="33">
        <f t="shared" si="4"/>
        <v>183</v>
      </c>
      <c r="AM8" s="30"/>
      <c r="AN8" s="30" t="s">
        <v>56</v>
      </c>
      <c r="AO8" s="30" t="s">
        <v>57</v>
      </c>
      <c r="AP8" s="22">
        <f t="shared" si="5"/>
        <v>0</v>
      </c>
      <c r="AQ8" s="22"/>
      <c r="AR8" s="22"/>
      <c r="AS8" s="34" t="s">
        <v>58</v>
      </c>
      <c r="AT8" s="18" t="s">
        <v>59</v>
      </c>
      <c r="AU8" s="18" t="s">
        <v>59</v>
      </c>
      <c r="AV8" s="18" t="s">
        <v>59</v>
      </c>
      <c r="AW8" s="18" t="s">
        <v>59</v>
      </c>
      <c r="AX8" s="18">
        <v>900</v>
      </c>
      <c r="AY8" s="18">
        <v>760</v>
      </c>
      <c r="AZ8" s="18">
        <f t="shared" si="6"/>
        <v>0</v>
      </c>
      <c r="BA8" s="18"/>
      <c r="BB8" s="39" t="s">
        <v>60</v>
      </c>
      <c r="BC8" s="40"/>
      <c r="BD8" s="39">
        <v>10379</v>
      </c>
      <c r="BE8" s="39" t="s">
        <v>63</v>
      </c>
      <c r="BF8" s="39">
        <v>30010884</v>
      </c>
      <c r="BG8" s="39" t="s">
        <v>65</v>
      </c>
      <c r="BH8" s="34" t="s">
        <v>58</v>
      </c>
    </row>
    <row r="9" ht="20.1" customHeight="1" spans="1:60">
      <c r="A9" s="13">
        <v>2</v>
      </c>
      <c r="B9" s="14"/>
      <c r="C9" s="15"/>
      <c r="D9" s="16"/>
      <c r="E9" s="17"/>
      <c r="F9" s="18"/>
      <c r="G9" s="19"/>
      <c r="H9" s="18"/>
      <c r="I9" s="14"/>
      <c r="J9" s="14"/>
      <c r="K9" s="22"/>
      <c r="L9" s="14"/>
      <c r="M9" s="23">
        <f t="shared" si="7"/>
        <v>0</v>
      </c>
      <c r="N9" s="23">
        <f t="shared" si="8"/>
        <v>0</v>
      </c>
      <c r="O9" s="26"/>
      <c r="P9" s="25"/>
      <c r="Q9" s="18">
        <f>(4600-R9-S9-T9-U9-V9-W9)/2</f>
        <v>2300</v>
      </c>
      <c r="R9" s="14"/>
      <c r="S9" s="14"/>
      <c r="T9" s="14"/>
      <c r="U9" s="14"/>
      <c r="V9" s="14"/>
      <c r="W9" s="22"/>
      <c r="X9" s="18"/>
      <c r="Y9" s="18"/>
      <c r="Z9" s="18">
        <f>(4600-R9-S9-T9-U9-V9-W9)/2</f>
        <v>2300</v>
      </c>
      <c r="AA9" s="18"/>
      <c r="AB9" s="30">
        <f>R9+S9+T9+U9+V9+W9</f>
        <v>0</v>
      </c>
      <c r="AC9" s="31">
        <f>AB9/4600</f>
        <v>0</v>
      </c>
      <c r="AD9" s="30" t="s">
        <v>55</v>
      </c>
      <c r="AE9" s="18">
        <f t="shared" si="0"/>
        <v>0</v>
      </c>
      <c r="AF9" s="18">
        <f t="shared" si="0"/>
        <v>0</v>
      </c>
      <c r="AG9" s="18">
        <f t="shared" si="0"/>
        <v>0</v>
      </c>
      <c r="AH9" s="30">
        <f t="shared" si="1"/>
        <v>0</v>
      </c>
      <c r="AI9" s="30">
        <f t="shared" si="2"/>
        <v>0</v>
      </c>
      <c r="AJ9" s="18">
        <v>870</v>
      </c>
      <c r="AK9" s="23">
        <f t="shared" si="3"/>
        <v>0</v>
      </c>
      <c r="AL9" s="33">
        <f t="shared" si="4"/>
        <v>183</v>
      </c>
      <c r="AM9" s="30"/>
      <c r="AN9" s="30" t="s">
        <v>56</v>
      </c>
      <c r="AO9" s="30" t="s">
        <v>57</v>
      </c>
      <c r="AP9" s="22">
        <f t="shared" si="5"/>
        <v>0</v>
      </c>
      <c r="AQ9" s="22"/>
      <c r="AR9" s="22"/>
      <c r="AS9" s="34" t="s">
        <v>58</v>
      </c>
      <c r="AT9" s="18" t="s">
        <v>59</v>
      </c>
      <c r="AU9" s="18" t="s">
        <v>59</v>
      </c>
      <c r="AV9" s="18" t="s">
        <v>59</v>
      </c>
      <c r="AW9" s="18" t="s">
        <v>59</v>
      </c>
      <c r="AX9" s="18">
        <v>900</v>
      </c>
      <c r="AY9" s="18">
        <v>760</v>
      </c>
      <c r="AZ9" s="18">
        <f t="shared" si="6"/>
        <v>0</v>
      </c>
      <c r="BA9" s="18"/>
      <c r="BB9" s="39" t="s">
        <v>60</v>
      </c>
      <c r="BC9" s="40"/>
      <c r="BD9" s="39">
        <v>10379</v>
      </c>
      <c r="BE9" s="39" t="s">
        <v>63</v>
      </c>
      <c r="BF9" s="39">
        <v>30010884</v>
      </c>
      <c r="BG9" s="39" t="s">
        <v>66</v>
      </c>
      <c r="BH9" s="34" t="s">
        <v>58</v>
      </c>
    </row>
    <row r="10" ht="20.1" customHeight="1" spans="1:60">
      <c r="A10" s="13"/>
      <c r="B10" s="14"/>
      <c r="C10" s="15"/>
      <c r="D10" s="16"/>
      <c r="E10" s="17"/>
      <c r="F10" s="18"/>
      <c r="G10" s="19"/>
      <c r="H10" s="18"/>
      <c r="I10" s="14"/>
      <c r="J10" s="14"/>
      <c r="K10" s="22"/>
      <c r="L10" s="14"/>
      <c r="M10" s="23">
        <f t="shared" si="7"/>
        <v>0</v>
      </c>
      <c r="N10" s="23">
        <f t="shared" si="8"/>
        <v>0</v>
      </c>
      <c r="O10" s="26"/>
      <c r="P10" s="25"/>
      <c r="Q10" s="18"/>
      <c r="R10" s="13"/>
      <c r="S10" s="13"/>
      <c r="T10" s="13"/>
      <c r="U10" s="13"/>
      <c r="V10" s="18"/>
      <c r="W10" s="18"/>
      <c r="X10" s="18"/>
      <c r="Y10" s="18"/>
      <c r="Z10" s="18"/>
      <c r="AA10" s="18"/>
      <c r="AB10" s="30"/>
      <c r="AC10" s="31"/>
      <c r="AD10" s="30" t="s">
        <v>55</v>
      </c>
      <c r="AE10" s="18">
        <f t="shared" si="0"/>
        <v>0</v>
      </c>
      <c r="AF10" s="18">
        <f t="shared" si="0"/>
        <v>0</v>
      </c>
      <c r="AG10" s="18">
        <f t="shared" si="0"/>
        <v>0</v>
      </c>
      <c r="AH10" s="30">
        <f t="shared" si="1"/>
        <v>0</v>
      </c>
      <c r="AI10" s="30">
        <f t="shared" si="2"/>
        <v>0</v>
      </c>
      <c r="AJ10" s="18">
        <v>1200</v>
      </c>
      <c r="AK10" s="23">
        <f t="shared" si="3"/>
        <v>0</v>
      </c>
      <c r="AL10" s="33">
        <f t="shared" si="4"/>
        <v>183</v>
      </c>
      <c r="AM10" s="30"/>
      <c r="AN10" s="30" t="s">
        <v>56</v>
      </c>
      <c r="AO10" s="30" t="s">
        <v>57</v>
      </c>
      <c r="AP10" s="22">
        <f t="shared" si="5"/>
        <v>0</v>
      </c>
      <c r="AQ10" s="22"/>
      <c r="AR10" s="22"/>
      <c r="AS10" s="34" t="s">
        <v>58</v>
      </c>
      <c r="AT10" s="18" t="s">
        <v>59</v>
      </c>
      <c r="AU10" s="18" t="s">
        <v>59</v>
      </c>
      <c r="AV10" s="18" t="s">
        <v>59</v>
      </c>
      <c r="AW10" s="18" t="s">
        <v>59</v>
      </c>
      <c r="AX10" s="18">
        <v>1300</v>
      </c>
      <c r="AY10" s="18">
        <v>760</v>
      </c>
      <c r="AZ10" s="18">
        <f t="shared" si="6"/>
        <v>0</v>
      </c>
      <c r="BA10" s="18" t="s">
        <v>67</v>
      </c>
      <c r="BB10" s="39" t="s">
        <v>60</v>
      </c>
      <c r="BC10" s="40"/>
      <c r="BD10" s="39">
        <v>10379</v>
      </c>
      <c r="BE10" s="39" t="s">
        <v>63</v>
      </c>
      <c r="BF10" s="39">
        <v>30010883</v>
      </c>
      <c r="BG10" s="39" t="s">
        <v>68</v>
      </c>
      <c r="BH10" s="34" t="s">
        <v>58</v>
      </c>
    </row>
    <row r="11" ht="20.1" customHeight="1" spans="1:60">
      <c r="A11" s="13"/>
      <c r="B11" s="14"/>
      <c r="C11" s="15"/>
      <c r="D11" s="16"/>
      <c r="E11" s="17"/>
      <c r="F11" s="18"/>
      <c r="G11" s="19"/>
      <c r="H11" s="18"/>
      <c r="I11" s="14"/>
      <c r="J11" s="14"/>
      <c r="K11" s="22"/>
      <c r="L11" s="14"/>
      <c r="M11" s="23">
        <f t="shared" si="7"/>
        <v>0</v>
      </c>
      <c r="N11" s="23">
        <f t="shared" si="8"/>
        <v>0</v>
      </c>
      <c r="O11" s="26"/>
      <c r="P11" s="25"/>
      <c r="Q11" s="18"/>
      <c r="R11" s="13"/>
      <c r="S11" s="13"/>
      <c r="T11" s="13"/>
      <c r="U11" s="13"/>
      <c r="V11" s="18"/>
      <c r="W11" s="18"/>
      <c r="X11" s="18"/>
      <c r="Y11" s="18"/>
      <c r="Z11" s="18"/>
      <c r="AA11" s="18"/>
      <c r="AB11" s="30"/>
      <c r="AC11" s="31"/>
      <c r="AD11" s="30" t="s">
        <v>55</v>
      </c>
      <c r="AE11" s="18">
        <f t="shared" si="0"/>
        <v>0</v>
      </c>
      <c r="AF11" s="18">
        <f t="shared" si="0"/>
        <v>0</v>
      </c>
      <c r="AG11" s="18">
        <f t="shared" si="0"/>
        <v>0</v>
      </c>
      <c r="AH11" s="30">
        <f t="shared" si="1"/>
        <v>0</v>
      </c>
      <c r="AI11" s="30">
        <f t="shared" si="2"/>
        <v>0</v>
      </c>
      <c r="AJ11" s="18">
        <v>910</v>
      </c>
      <c r="AK11" s="23">
        <f t="shared" si="3"/>
        <v>0</v>
      </c>
      <c r="AL11" s="33">
        <f t="shared" si="4"/>
        <v>183</v>
      </c>
      <c r="AM11" s="30"/>
      <c r="AN11" s="30" t="s">
        <v>56</v>
      </c>
      <c r="AO11" s="30" t="s">
        <v>57</v>
      </c>
      <c r="AP11" s="22">
        <f t="shared" si="5"/>
        <v>0</v>
      </c>
      <c r="AQ11" s="22"/>
      <c r="AR11" s="22"/>
      <c r="AS11" s="34" t="s">
        <v>58</v>
      </c>
      <c r="AT11" s="18" t="s">
        <v>59</v>
      </c>
      <c r="AU11" s="18" t="s">
        <v>59</v>
      </c>
      <c r="AV11" s="18" t="s">
        <v>59</v>
      </c>
      <c r="AW11" s="18" t="s">
        <v>59</v>
      </c>
      <c r="AX11" s="18">
        <v>1000</v>
      </c>
      <c r="AY11" s="18">
        <v>760</v>
      </c>
      <c r="AZ11" s="18">
        <f t="shared" si="6"/>
        <v>0</v>
      </c>
      <c r="BA11" s="18"/>
      <c r="BB11" s="39" t="s">
        <v>60</v>
      </c>
      <c r="BC11" s="40"/>
      <c r="BD11" s="39">
        <v>10379</v>
      </c>
      <c r="BE11" s="39" t="s">
        <v>63</v>
      </c>
      <c r="BF11" s="39">
        <v>30010891</v>
      </c>
      <c r="BG11" s="39" t="s">
        <v>69</v>
      </c>
      <c r="BH11" s="34" t="s">
        <v>58</v>
      </c>
    </row>
    <row r="12" ht="20.1" customHeight="1" spans="1:60">
      <c r="A12" s="13">
        <v>3</v>
      </c>
      <c r="B12" s="14"/>
      <c r="C12" s="15"/>
      <c r="D12" s="16"/>
      <c r="E12" s="17"/>
      <c r="F12" s="18"/>
      <c r="G12" s="19"/>
      <c r="H12" s="18"/>
      <c r="I12" s="14"/>
      <c r="J12" s="14"/>
      <c r="K12" s="22"/>
      <c r="L12" s="14"/>
      <c r="M12" s="23">
        <f t="shared" si="7"/>
        <v>0</v>
      </c>
      <c r="N12" s="23">
        <f t="shared" si="8"/>
        <v>0</v>
      </c>
      <c r="O12" s="26"/>
      <c r="P12" s="25"/>
      <c r="Q12" s="18">
        <f>(4600-R12-S12-T12-U12-V12-W12)/2</f>
        <v>2300</v>
      </c>
      <c r="R12" s="14"/>
      <c r="S12" s="14"/>
      <c r="T12" s="14"/>
      <c r="U12" s="14"/>
      <c r="V12" s="14"/>
      <c r="W12" s="22"/>
      <c r="X12" s="18"/>
      <c r="Y12" s="18"/>
      <c r="Z12" s="18">
        <f>(4600-R12-S12-T12-U12-V12-W12)/2</f>
        <v>2300</v>
      </c>
      <c r="AA12" s="18"/>
      <c r="AB12" s="30">
        <f>R12+S12+T12+U12+V12+W12</f>
        <v>0</v>
      </c>
      <c r="AC12" s="31">
        <f>AB12/4600</f>
        <v>0</v>
      </c>
      <c r="AD12" s="30" t="s">
        <v>55</v>
      </c>
      <c r="AE12" s="18">
        <f t="shared" si="0"/>
        <v>0</v>
      </c>
      <c r="AF12" s="18">
        <f t="shared" si="0"/>
        <v>0</v>
      </c>
      <c r="AG12" s="18">
        <f t="shared" si="0"/>
        <v>0</v>
      </c>
      <c r="AH12" s="30">
        <f t="shared" si="1"/>
        <v>0</v>
      </c>
      <c r="AI12" s="30">
        <f t="shared" si="2"/>
        <v>0</v>
      </c>
      <c r="AJ12" s="18">
        <v>870</v>
      </c>
      <c r="AK12" s="23">
        <f t="shared" si="3"/>
        <v>0</v>
      </c>
      <c r="AL12" s="33">
        <f t="shared" si="4"/>
        <v>183</v>
      </c>
      <c r="AM12" s="30"/>
      <c r="AN12" s="30" t="s">
        <v>56</v>
      </c>
      <c r="AO12" s="30" t="s">
        <v>57</v>
      </c>
      <c r="AP12" s="22">
        <f t="shared" si="5"/>
        <v>0</v>
      </c>
      <c r="AQ12" s="22"/>
      <c r="AR12" s="22"/>
      <c r="AS12" s="34" t="s">
        <v>58</v>
      </c>
      <c r="AT12" s="18" t="s">
        <v>59</v>
      </c>
      <c r="AU12" s="18" t="s">
        <v>59</v>
      </c>
      <c r="AV12" s="18" t="s">
        <v>59</v>
      </c>
      <c r="AW12" s="18" t="s">
        <v>59</v>
      </c>
      <c r="AX12" s="18">
        <v>900</v>
      </c>
      <c r="AY12" s="18">
        <v>760</v>
      </c>
      <c r="AZ12" s="18">
        <f t="shared" si="6"/>
        <v>0</v>
      </c>
      <c r="BA12" s="18"/>
      <c r="BB12" s="39" t="s">
        <v>60</v>
      </c>
      <c r="BC12" s="40"/>
      <c r="BD12" s="39">
        <v>10379</v>
      </c>
      <c r="BE12" s="39" t="s">
        <v>63</v>
      </c>
      <c r="BF12" s="39">
        <v>30010884</v>
      </c>
      <c r="BG12" s="39" t="s">
        <v>66</v>
      </c>
      <c r="BH12" s="34" t="s">
        <v>58</v>
      </c>
    </row>
    <row r="13" ht="20.1" customHeight="1" spans="1:60">
      <c r="A13" s="13"/>
      <c r="B13" s="14"/>
      <c r="C13" s="15"/>
      <c r="D13" s="16"/>
      <c r="E13" s="17"/>
      <c r="F13" s="18"/>
      <c r="G13" s="19"/>
      <c r="H13" s="18"/>
      <c r="I13" s="14"/>
      <c r="J13" s="14"/>
      <c r="K13" s="22"/>
      <c r="L13" s="14"/>
      <c r="M13" s="23">
        <f t="shared" si="7"/>
        <v>0</v>
      </c>
      <c r="N13" s="23">
        <f t="shared" si="8"/>
        <v>0</v>
      </c>
      <c r="O13" s="26"/>
      <c r="P13" s="25"/>
      <c r="Q13" s="18"/>
      <c r="R13" s="13"/>
      <c r="S13" s="13"/>
      <c r="T13" s="13"/>
      <c r="U13" s="13"/>
      <c r="V13" s="18"/>
      <c r="W13" s="18"/>
      <c r="X13" s="18"/>
      <c r="Y13" s="18"/>
      <c r="Z13" s="18"/>
      <c r="AA13" s="18"/>
      <c r="AB13" s="30"/>
      <c r="AC13" s="31"/>
      <c r="AD13" s="30" t="s">
        <v>55</v>
      </c>
      <c r="AE13" s="18">
        <f t="shared" si="0"/>
        <v>0</v>
      </c>
      <c r="AF13" s="18">
        <f t="shared" si="0"/>
        <v>0</v>
      </c>
      <c r="AG13" s="18">
        <f t="shared" si="0"/>
        <v>0</v>
      </c>
      <c r="AH13" s="30">
        <f t="shared" si="1"/>
        <v>0</v>
      </c>
      <c r="AI13" s="30">
        <f t="shared" si="2"/>
        <v>0</v>
      </c>
      <c r="AJ13" s="18">
        <v>1200</v>
      </c>
      <c r="AK13" s="23">
        <f t="shared" si="3"/>
        <v>0</v>
      </c>
      <c r="AL13" s="33">
        <f t="shared" si="4"/>
        <v>183</v>
      </c>
      <c r="AM13" s="30"/>
      <c r="AN13" s="30" t="s">
        <v>56</v>
      </c>
      <c r="AO13" s="30" t="s">
        <v>57</v>
      </c>
      <c r="AP13" s="22">
        <f t="shared" si="5"/>
        <v>0</v>
      </c>
      <c r="AQ13" s="22"/>
      <c r="AR13" s="22"/>
      <c r="AS13" s="34" t="s">
        <v>58</v>
      </c>
      <c r="AT13" s="18" t="s">
        <v>59</v>
      </c>
      <c r="AU13" s="18" t="s">
        <v>59</v>
      </c>
      <c r="AV13" s="18" t="s">
        <v>59</v>
      </c>
      <c r="AW13" s="18" t="s">
        <v>59</v>
      </c>
      <c r="AX13" s="18">
        <v>1300</v>
      </c>
      <c r="AY13" s="18">
        <v>760</v>
      </c>
      <c r="AZ13" s="18">
        <f t="shared" si="6"/>
        <v>0</v>
      </c>
      <c r="BA13" s="18" t="s">
        <v>67</v>
      </c>
      <c r="BB13" s="39" t="s">
        <v>60</v>
      </c>
      <c r="BC13" s="40"/>
      <c r="BD13" s="39">
        <v>10379</v>
      </c>
      <c r="BE13" s="39" t="s">
        <v>63</v>
      </c>
      <c r="BF13" s="39">
        <v>30010883</v>
      </c>
      <c r="BG13" s="39" t="s">
        <v>68</v>
      </c>
      <c r="BH13" s="34" t="s">
        <v>58</v>
      </c>
    </row>
    <row r="14" ht="20.1" customHeight="1" spans="1:60">
      <c r="A14" s="13"/>
      <c r="B14" s="14"/>
      <c r="C14" s="15"/>
      <c r="D14" s="16"/>
      <c r="E14" s="17"/>
      <c r="F14" s="18"/>
      <c r="G14" s="19"/>
      <c r="H14" s="18"/>
      <c r="I14" s="14"/>
      <c r="J14" s="14"/>
      <c r="K14" s="22"/>
      <c r="L14" s="14"/>
      <c r="M14" s="23">
        <f t="shared" si="7"/>
        <v>0</v>
      </c>
      <c r="N14" s="23">
        <f t="shared" si="8"/>
        <v>0</v>
      </c>
      <c r="O14" s="26"/>
      <c r="P14" s="25"/>
      <c r="Q14" s="18"/>
      <c r="R14" s="13"/>
      <c r="S14" s="13"/>
      <c r="T14" s="13"/>
      <c r="U14" s="13"/>
      <c r="V14" s="18"/>
      <c r="W14" s="18"/>
      <c r="X14" s="18"/>
      <c r="Y14" s="18"/>
      <c r="Z14" s="18"/>
      <c r="AA14" s="18"/>
      <c r="AB14" s="30"/>
      <c r="AC14" s="31"/>
      <c r="AD14" s="30" t="s">
        <v>55</v>
      </c>
      <c r="AE14" s="18">
        <f t="shared" si="0"/>
        <v>0</v>
      </c>
      <c r="AF14" s="18">
        <f t="shared" si="0"/>
        <v>0</v>
      </c>
      <c r="AG14" s="18">
        <f t="shared" si="0"/>
        <v>0</v>
      </c>
      <c r="AH14" s="30">
        <f t="shared" si="1"/>
        <v>0</v>
      </c>
      <c r="AI14" s="30">
        <f t="shared" si="2"/>
        <v>0</v>
      </c>
      <c r="AJ14" s="18">
        <v>910</v>
      </c>
      <c r="AK14" s="23">
        <f t="shared" si="3"/>
        <v>0</v>
      </c>
      <c r="AL14" s="33">
        <f t="shared" si="4"/>
        <v>183</v>
      </c>
      <c r="AM14" s="30"/>
      <c r="AN14" s="30" t="s">
        <v>56</v>
      </c>
      <c r="AO14" s="30" t="s">
        <v>57</v>
      </c>
      <c r="AP14" s="22">
        <f t="shared" si="5"/>
        <v>0</v>
      </c>
      <c r="AQ14" s="22"/>
      <c r="AR14" s="22"/>
      <c r="AS14" s="34" t="s">
        <v>58</v>
      </c>
      <c r="AT14" s="18" t="s">
        <v>59</v>
      </c>
      <c r="AU14" s="18" t="s">
        <v>59</v>
      </c>
      <c r="AV14" s="18" t="s">
        <v>59</v>
      </c>
      <c r="AW14" s="18" t="s">
        <v>59</v>
      </c>
      <c r="AX14" s="18">
        <v>1000</v>
      </c>
      <c r="AY14" s="18">
        <v>760</v>
      </c>
      <c r="AZ14" s="18">
        <f t="shared" si="6"/>
        <v>0</v>
      </c>
      <c r="BA14" s="18"/>
      <c r="BB14" s="39" t="s">
        <v>60</v>
      </c>
      <c r="BC14" s="40"/>
      <c r="BD14" s="39">
        <v>10379</v>
      </c>
      <c r="BE14" s="39" t="s">
        <v>63</v>
      </c>
      <c r="BF14" s="39">
        <v>30010891</v>
      </c>
      <c r="BG14" s="39" t="s">
        <v>69</v>
      </c>
      <c r="BH14" s="34" t="s">
        <v>58</v>
      </c>
    </row>
    <row r="15" ht="20.1" customHeight="1" spans="1:60">
      <c r="A15" s="13">
        <v>4</v>
      </c>
      <c r="B15" s="14"/>
      <c r="C15" s="15"/>
      <c r="D15" s="16"/>
      <c r="E15" s="17"/>
      <c r="F15" s="18"/>
      <c r="G15" s="19"/>
      <c r="H15" s="18"/>
      <c r="I15" s="14"/>
      <c r="J15" s="14"/>
      <c r="K15" s="22"/>
      <c r="L15" s="14"/>
      <c r="M15" s="23">
        <f t="shared" si="7"/>
        <v>0</v>
      </c>
      <c r="N15" s="23">
        <f t="shared" si="8"/>
        <v>0</v>
      </c>
      <c r="O15" s="26"/>
      <c r="P15" s="25"/>
      <c r="Q15" s="18">
        <f>(4600-R15-S15-T15-U15-V15-W15)/2</f>
        <v>2300</v>
      </c>
      <c r="R15" s="14"/>
      <c r="S15" s="14"/>
      <c r="T15" s="14"/>
      <c r="U15" s="14"/>
      <c r="V15" s="14"/>
      <c r="W15" s="22"/>
      <c r="X15" s="18"/>
      <c r="Y15" s="18"/>
      <c r="Z15" s="18">
        <f>(4600-R15-S15-T15-U15-V15-W15)/2</f>
        <v>2300</v>
      </c>
      <c r="AA15" s="18"/>
      <c r="AB15" s="30">
        <f>R15+S15+T15+U15+V15+W15</f>
        <v>0</v>
      </c>
      <c r="AC15" s="31">
        <f>AB15/4600</f>
        <v>0</v>
      </c>
      <c r="AD15" s="30" t="s">
        <v>55</v>
      </c>
      <c r="AE15" s="18">
        <f t="shared" si="0"/>
        <v>0</v>
      </c>
      <c r="AF15" s="18">
        <f t="shared" si="0"/>
        <v>0</v>
      </c>
      <c r="AG15" s="18">
        <f t="shared" si="0"/>
        <v>0</v>
      </c>
      <c r="AH15" s="30">
        <f t="shared" si="1"/>
        <v>0</v>
      </c>
      <c r="AI15" s="30">
        <f t="shared" si="2"/>
        <v>0</v>
      </c>
      <c r="AJ15" s="18">
        <v>870</v>
      </c>
      <c r="AK15" s="23">
        <f t="shared" si="3"/>
        <v>0</v>
      </c>
      <c r="AL15" s="33">
        <f t="shared" si="4"/>
        <v>183</v>
      </c>
      <c r="AM15" s="30"/>
      <c r="AN15" s="30" t="s">
        <v>56</v>
      </c>
      <c r="AO15" s="30" t="s">
        <v>57</v>
      </c>
      <c r="AP15" s="22">
        <f t="shared" si="5"/>
        <v>0</v>
      </c>
      <c r="AQ15" s="22"/>
      <c r="AR15" s="22"/>
      <c r="AS15" s="34" t="s">
        <v>58</v>
      </c>
      <c r="AT15" s="18" t="s">
        <v>59</v>
      </c>
      <c r="AU15" s="18" t="s">
        <v>59</v>
      </c>
      <c r="AV15" s="18" t="s">
        <v>59</v>
      </c>
      <c r="AW15" s="18" t="s">
        <v>59</v>
      </c>
      <c r="AX15" s="18">
        <v>900</v>
      </c>
      <c r="AY15" s="18">
        <v>760</v>
      </c>
      <c r="AZ15" s="18">
        <f t="shared" si="6"/>
        <v>0</v>
      </c>
      <c r="BA15" s="18"/>
      <c r="BB15" s="39" t="s">
        <v>60</v>
      </c>
      <c r="BC15" s="40"/>
      <c r="BD15" s="39">
        <v>10379</v>
      </c>
      <c r="BE15" s="39" t="s">
        <v>63</v>
      </c>
      <c r="BF15" s="39">
        <v>30010884</v>
      </c>
      <c r="BG15" s="39" t="s">
        <v>66</v>
      </c>
      <c r="BH15" s="34" t="s">
        <v>58</v>
      </c>
    </row>
    <row r="16" ht="20.1" customHeight="1" spans="1:60">
      <c r="A16" s="13"/>
      <c r="B16" s="14"/>
      <c r="C16" s="15"/>
      <c r="D16" s="16"/>
      <c r="E16" s="17"/>
      <c r="F16" s="18"/>
      <c r="G16" s="19"/>
      <c r="H16" s="18"/>
      <c r="I16" s="14"/>
      <c r="J16" s="14"/>
      <c r="K16" s="22"/>
      <c r="L16" s="14"/>
      <c r="M16" s="23">
        <f t="shared" si="7"/>
        <v>0</v>
      </c>
      <c r="N16" s="23">
        <f t="shared" si="8"/>
        <v>0</v>
      </c>
      <c r="O16" s="26"/>
      <c r="P16" s="25"/>
      <c r="Q16" s="18"/>
      <c r="R16" s="13"/>
      <c r="S16" s="13"/>
      <c r="T16" s="13"/>
      <c r="U16" s="13"/>
      <c r="V16" s="18"/>
      <c r="W16" s="18"/>
      <c r="X16" s="18"/>
      <c r="Y16" s="18"/>
      <c r="Z16" s="18"/>
      <c r="AA16" s="18"/>
      <c r="AB16" s="30"/>
      <c r="AC16" s="31"/>
      <c r="AD16" s="30" t="s">
        <v>55</v>
      </c>
      <c r="AE16" s="18">
        <f t="shared" si="0"/>
        <v>0</v>
      </c>
      <c r="AF16" s="18">
        <f t="shared" si="0"/>
        <v>0</v>
      </c>
      <c r="AG16" s="18">
        <f t="shared" si="0"/>
        <v>0</v>
      </c>
      <c r="AH16" s="30">
        <f t="shared" si="1"/>
        <v>0</v>
      </c>
      <c r="AI16" s="30">
        <f t="shared" si="2"/>
        <v>0</v>
      </c>
      <c r="AJ16" s="18">
        <v>1200</v>
      </c>
      <c r="AK16" s="23">
        <f t="shared" si="3"/>
        <v>0</v>
      </c>
      <c r="AL16" s="33">
        <f t="shared" si="4"/>
        <v>183</v>
      </c>
      <c r="AM16" s="30"/>
      <c r="AN16" s="30" t="s">
        <v>56</v>
      </c>
      <c r="AO16" s="30" t="s">
        <v>57</v>
      </c>
      <c r="AP16" s="22">
        <f t="shared" si="5"/>
        <v>0</v>
      </c>
      <c r="AQ16" s="22"/>
      <c r="AR16" s="22"/>
      <c r="AS16" s="34" t="s">
        <v>58</v>
      </c>
      <c r="AT16" s="18" t="s">
        <v>59</v>
      </c>
      <c r="AU16" s="18" t="s">
        <v>59</v>
      </c>
      <c r="AV16" s="18" t="s">
        <v>59</v>
      </c>
      <c r="AW16" s="18" t="s">
        <v>59</v>
      </c>
      <c r="AX16" s="18">
        <v>1300</v>
      </c>
      <c r="AY16" s="18">
        <v>760</v>
      </c>
      <c r="AZ16" s="18">
        <f t="shared" si="6"/>
        <v>0</v>
      </c>
      <c r="BA16" s="18" t="s">
        <v>67</v>
      </c>
      <c r="BB16" s="39" t="s">
        <v>60</v>
      </c>
      <c r="BC16" s="40"/>
      <c r="BD16" s="39">
        <v>10379</v>
      </c>
      <c r="BE16" s="39" t="s">
        <v>63</v>
      </c>
      <c r="BF16" s="39">
        <v>30010883</v>
      </c>
      <c r="BG16" s="39" t="s">
        <v>68</v>
      </c>
      <c r="BH16" s="34" t="s">
        <v>58</v>
      </c>
    </row>
    <row r="17" ht="20.1" customHeight="1" spans="1:60">
      <c r="A17" s="13"/>
      <c r="B17" s="14"/>
      <c r="C17" s="15"/>
      <c r="D17" s="16"/>
      <c r="E17" s="17"/>
      <c r="F17" s="18"/>
      <c r="G17" s="19"/>
      <c r="H17" s="18"/>
      <c r="I17" s="14"/>
      <c r="J17" s="14"/>
      <c r="K17" s="22"/>
      <c r="L17" s="14"/>
      <c r="M17" s="23">
        <f t="shared" si="7"/>
        <v>0</v>
      </c>
      <c r="N17" s="23">
        <f t="shared" si="8"/>
        <v>0</v>
      </c>
      <c r="O17" s="26"/>
      <c r="P17" s="25"/>
      <c r="Q17" s="18"/>
      <c r="R17" s="13"/>
      <c r="S17" s="13"/>
      <c r="T17" s="13"/>
      <c r="U17" s="13"/>
      <c r="V17" s="18"/>
      <c r="W17" s="18"/>
      <c r="X17" s="18"/>
      <c r="Y17" s="18"/>
      <c r="Z17" s="18"/>
      <c r="AA17" s="18"/>
      <c r="AB17" s="30"/>
      <c r="AC17" s="31"/>
      <c r="AD17" s="30" t="s">
        <v>55</v>
      </c>
      <c r="AE17" s="18">
        <f t="shared" si="0"/>
        <v>0</v>
      </c>
      <c r="AF17" s="18">
        <f t="shared" si="0"/>
        <v>0</v>
      </c>
      <c r="AG17" s="18">
        <f t="shared" si="0"/>
        <v>0</v>
      </c>
      <c r="AH17" s="30">
        <f t="shared" si="1"/>
        <v>0</v>
      </c>
      <c r="AI17" s="30">
        <f t="shared" si="2"/>
        <v>0</v>
      </c>
      <c r="AJ17" s="18">
        <v>940</v>
      </c>
      <c r="AK17" s="23">
        <f t="shared" si="3"/>
        <v>0</v>
      </c>
      <c r="AL17" s="33">
        <f t="shared" si="4"/>
        <v>183</v>
      </c>
      <c r="AM17" s="30"/>
      <c r="AN17" s="30" t="s">
        <v>56</v>
      </c>
      <c r="AO17" s="30" t="s">
        <v>57</v>
      </c>
      <c r="AP17" s="22">
        <f t="shared" si="5"/>
        <v>0</v>
      </c>
      <c r="AQ17" s="22"/>
      <c r="AR17" s="22"/>
      <c r="AS17" s="34" t="s">
        <v>70</v>
      </c>
      <c r="AT17" s="18">
        <f>AJ17+10</f>
        <v>950</v>
      </c>
      <c r="AU17" s="18">
        <v>755</v>
      </c>
      <c r="AV17" s="18">
        <v>755</v>
      </c>
      <c r="AW17" s="18">
        <f>AH17</f>
        <v>0</v>
      </c>
      <c r="AX17" s="18">
        <v>1000</v>
      </c>
      <c r="AY17" s="18">
        <v>760</v>
      </c>
      <c r="AZ17" s="18">
        <f t="shared" si="6"/>
        <v>0</v>
      </c>
      <c r="BA17" s="18"/>
      <c r="BB17" s="39" t="s">
        <v>60</v>
      </c>
      <c r="BC17" s="40"/>
      <c r="BD17" s="39">
        <v>10379</v>
      </c>
      <c r="BE17" s="39" t="s">
        <v>63</v>
      </c>
      <c r="BF17" s="39">
        <v>30016941</v>
      </c>
      <c r="BG17" s="39" t="s">
        <v>71</v>
      </c>
      <c r="BH17" s="34" t="s">
        <v>70</v>
      </c>
    </row>
  </sheetData>
  <mergeCells count="33">
    <mergeCell ref="A1:AF1"/>
    <mergeCell ref="A2:BC2"/>
    <mergeCell ref="R4:W4"/>
    <mergeCell ref="AT4:AV4"/>
    <mergeCell ref="AX4:AY4"/>
    <mergeCell ref="A4:A5"/>
    <mergeCell ref="A6:A8"/>
    <mergeCell ref="A9:A11"/>
    <mergeCell ref="A12:A14"/>
    <mergeCell ref="A15:A17"/>
    <mergeCell ref="B4:B5"/>
    <mergeCell ref="C4:C5"/>
    <mergeCell ref="D4:D5"/>
    <mergeCell ref="E4:E5"/>
    <mergeCell ref="F4:F5"/>
    <mergeCell ref="G4:G5"/>
    <mergeCell ref="L4:L5"/>
    <mergeCell ref="M4:M5"/>
    <mergeCell ref="O6:O8"/>
    <mergeCell ref="O9:O11"/>
    <mergeCell ref="O12:O14"/>
    <mergeCell ref="O15:O17"/>
    <mergeCell ref="P4:P5"/>
    <mergeCell ref="AA4:AA5"/>
    <mergeCell ref="AD4:AD5"/>
    <mergeCell ref="AJ4:AJ5"/>
    <mergeCell ref="AN4:AN5"/>
    <mergeCell ref="AS4:AS5"/>
    <mergeCell ref="AW4:AW5"/>
    <mergeCell ref="AZ4:AZ5"/>
    <mergeCell ref="BA4:BA5"/>
    <mergeCell ref="BB4:BB5"/>
    <mergeCell ref="BC4:BC5"/>
  </mergeCells>
  <printOptions horizontalCentered="1"/>
  <pageMargins left="0.15748031496063" right="0.15748031496063" top="0.31496062992126" bottom="0.31496062992126" header="0.31496062992126" footer="0.31496062992126"/>
  <pageSetup paperSize="9" scale="39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10-13 T4FDX300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安心</cp:lastModifiedBy>
  <dcterms:created xsi:type="dcterms:W3CDTF">2025-10-20T01:42:00Z</dcterms:created>
  <dcterms:modified xsi:type="dcterms:W3CDTF">2025-10-21T06:56:12Z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D070EEA85B784953B0A275D38C30083C_13</vt:lpwstr>
  </property>
  <property fmtid="{D5CDD505-2E9C-101B-9397-08002B2CF9AE}" pid="3" name="KSOProductBuildVer">
    <vt:lpwstr>2052-12.1.0.23125</vt:lpwstr>
  </property>
</Properties>
</file>