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<sst xmlns="http://schemas.openxmlformats.org/spreadsheetml/2006/main" count="337" uniqueCount="80">
  <si>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</si>
  <si>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</si>
  <si>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</si>
  <si>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</si>
  <si>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</si>
  <si>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</si>
  <si>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</si>
  <si>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</si>
  <si>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</si>
  <si>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</si>
  <si>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</si>
  <si>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</si>
  <si>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</si>
  <si>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</si>
  <si>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</si>
  <si>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</si>
  <si>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</si>
  <si>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</si>
  <si>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</si>
  <si>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</si>
  <si>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</si>
  <si>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</si>
  <si>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</si>
  <si>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</si>
  <si>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</si>
  <si>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</si>
  <si>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</si>
  <si>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</si>
  <si>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</si>
  <si>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</si>
  <si>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</si>
  <si>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</si>
  <si>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</si>
  <si>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</si>
  <si>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</si>
  <si>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</si>
  <si>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</si>
  <si>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</si>
  <si>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</si>
  <si>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</si>
  <si>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</si>
  <si>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</si>
  <si>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</si>
  <si>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</si>
  <si>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</si>
  <si>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</si>
  <si>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</si>
  <si>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</si>
  <si>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</si>
  <si>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</si>
  <si>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</si>
  <si>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</si>
  <si>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</si>
  <si>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</si>
  <si>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</si>
  <si>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</si>
  <si>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</si>
  <si>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</si>
  <si>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</si>
  <si>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</si>
  <si>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</si>
  <si>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</si>
  <si>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</si>
  <si>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</si>
  <si>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</si>
  <si>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</si>
  <si>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</si>
  <si>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</si>
  <si>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</si>
  <si>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</si>
  <si>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</si>
  <si>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</si>
  <si>
    <t>谷江帅</t>
  </si>
  <si>
    <t>188</t>
  </si>
  <si>
    <t>6"</t>
  </si>
  <si>
    <t>杨传志</t>
  </si>
  <si>
    <t>不电晕/不涂布</t>
  </si>
  <si>
    <t>吴龙飞</t>
  </si>
  <si>
    <t>王嘉</t>
  </si>
  <si>
    <t>王猛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</si>
</sst>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43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customWidth="true" style="3" width="4.0"/>
    <col min="2" max="2" customWidth="true" style="3" width="9.0"/>
    <col min="3" max="3" customWidth="true" style="3" width="5.63333333333333"/>
    <col min="4" max="4" customWidth="true" style="3" width="9.0"/>
    <col min="5" max="5" customWidth="true" style="3" width="9.88333333333333"/>
    <col min="6" max="7" customWidth="true" style="3" width="6.38333333333333"/>
    <col min="8" max="8" customWidth="true" style="3" width="4.38333333333333"/>
    <col min="9" max="10" customWidth="true" style="3" width="5.13333333333333"/>
    <col min="11" max="11" customWidth="true" style="3" width="4.75"/>
    <col min="12" max="12" customWidth="true" style="3" width="4.38333333333333"/>
    <col min="13" max="14" customWidth="true" style="3" width="5.5"/>
    <col min="15" max="15" customWidth="true" style="4" width="5.88333333333333"/>
    <col min="16" max="17" customWidth="true" style="3" width="4.13333333333333"/>
    <col min="18" max="23" customWidth="true" style="3" width="4.25"/>
    <col min="24" max="26" customWidth="true" style="3" width="4.13333333333333"/>
    <col min="27" max="27" customWidth="true" style="3" width="4.63333333333333"/>
    <col min="28" max="29" customWidth="true" style="3" width="5.0"/>
    <col min="30" max="30" customWidth="true" style="3" width="6.13333333333333"/>
    <col min="31" max="35" customWidth="true" style="3" width="5.5"/>
    <col min="36" max="36" customWidth="true" style="3" width="5.0"/>
    <col min="37" max="40" customWidth="true" style="3" width="5.5"/>
    <col min="41" max="41" customWidth="true" style="3" width="7.25"/>
    <col min="42" max="42" customWidth="true" style="3" width="5.63333333333333"/>
    <col min="43" max="44" customWidth="true" style="3" width="4.75"/>
    <col min="45" max="45" customWidth="true" style="3" width="7.75"/>
    <col min="46" max="46" customWidth="true" style="3" width="5.63333333333333"/>
    <col min="47" max="48" customWidth="true" style="3" width="4.38333333333333"/>
    <col min="49" max="49" customWidth="true" hidden="true" style="3" width="4.88333333333333"/>
    <col min="50" max="50" customWidth="true" style="3" width="5.13333333333333"/>
    <col min="51" max="51" customWidth="true" style="3" width="4.38333333333333"/>
    <col min="52" max="52" customWidth="true" hidden="true" style="3" width="4.88333333333333"/>
    <col min="53" max="53" customWidth="true" style="3" width="4.13333333333333"/>
    <col min="54" max="54" customWidth="true" style="3" width="9.0"/>
    <col min="55" max="55" customWidth="true" style="3" width="14.75"/>
    <col min="56" max="56" customWidth="true" style="3" width="9.0"/>
    <col min="57" max="57" customWidth="true" style="3" width="46.8916666666667"/>
    <col min="58" max="58" customWidth="true" style="3" width="9.0"/>
    <col min="59" max="59" customWidth="true" style="3" width="25.6333333333333"/>
    <col min="60" max="60" customWidth="true" style="3" width="9.0"/>
    <col min="61" max="16384" style="3" width="9.0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true">
      <c r="A6" s="13" t="n">
        <v>1.0</v>
      </c>
      <c r="B6" s="14" t="s">
        <v>72</v>
      </c>
      <c r="C6" s="15" t="n">
        <v>11.0</v>
      </c>
      <c r="D6" s="16"/>
      <c r="E6" s="17"/>
      <c r="F6" s="18"/>
      <c r="G6" s="19"/>
      <c r="H6" s="18" t="s">
        <v>73</v>
      </c>
      <c r="I6" s="14" t="n">
        <v>1100.0</v>
      </c>
      <c r="J6" s="14" t="n">
        <v>1350.0</v>
      </c>
      <c r="K6" s="22" t="s">
        <v>74</v>
      </c>
      <c r="L6" s="14" t="n">
        <v>30.0</v>
      </c>
      <c r="M6" s="23">
        <f>L6*I6*J6/1000</f>
      </c>
      <c r="N6" s="23">
        <f>(H6/1000000)*J6*I6*1.06*L6</f>
      </c>
      <c r="O6" s="24" t="s">
        <v>76</v>
      </c>
      <c r="P6" s="25" t="n">
        <v>2.0</v>
      </c>
      <c r="Q6" s="18">
        <f>(4600-R6-S6-T6-U6-V6-W6)/2</f>
      </c>
      <c r="R6" s="14" t="n">
        <v>1100.0</v>
      </c>
      <c r="S6" s="14" t="n">
        <v>1100.0</v>
      </c>
      <c r="T6" s="14" t="n">
        <v>1150.0</v>
      </c>
      <c r="U6" s="14"/>
      <c r="V6" s="14"/>
      <c r="W6" s="14"/>
      <c r="X6" s="18"/>
      <c r="Y6" s="18"/>
      <c r="Z6" s="18">
        <f>(4600-R6-S6-T6-U6-V6-W6)/2</f>
      </c>
      <c r="AA6" s="18" t="n">
        <v>15.0</v>
      </c>
      <c r="AB6" s="30">
        <f>R6+S6+T6+U6+V6+W6</f>
      </c>
      <c r="AC6" s="31">
        <f>AB6/4600</f>
      </c>
      <c r="AD6" s="30"/>
      <c r="AE6" s="18">
        <f>H6</f>
      </c>
      <c r="AF6" s="18">
        <f>I6</f>
      </c>
      <c r="AG6" s="18">
        <f>J6</f>
      </c>
      <c r="AH6" s="30">
        <f>L6</f>
      </c>
      <c r="AI6" s="30">
        <f>K6</f>
      </c>
      <c r="AJ6" s="18"/>
      <c r="AK6" s="23">
        <f>AE6*AG6*AF6*1/1000000</f>
      </c>
      <c r="AL6" s="33">
        <f>SQRT(H6*J6*1.05*4/3.14+183*183)</f>
      </c>
      <c r="AM6" s="30"/>
      <c r="AN6" s="30"/>
      <c r="AO6" s="30"/>
      <c r="AP6" s="22">
        <f>AH6*2</f>
      </c>
      <c r="AQ6" s="22"/>
      <c r="AR6" s="22"/>
      <c r="AS6" s="34"/>
      <c r="AT6" s="18"/>
      <c r="AU6" s="18"/>
      <c r="AV6" s="18"/>
      <c r="AW6" s="18"/>
      <c r="AX6" s="18"/>
      <c r="AY6" s="18"/>
      <c r="AZ6" s="18">
        <f>ROUNDUP(AH6/2,0)</f>
      </c>
      <c r="BA6" s="18"/>
      <c r="BB6" s="39"/>
      <c r="BC6" s="40"/>
      <c r="BD6" s="39"/>
      <c r="BE6" s="41"/>
      <c r="BF6" s="39"/>
      <c r="BG6" s="39"/>
      <c r="BH6" s="34"/>
    </row>
    <row r="7" ht="20.1" customHeight="true">
      <c r="A7" s="13"/>
      <c r="B7" s="14" t="s">
        <v>75</v>
      </c>
      <c r="C7" s="15" t="n">
        <v>13.0</v>
      </c>
      <c r="D7" s="16"/>
      <c r="E7" s="17"/>
      <c r="F7" s="18"/>
      <c r="G7" s="19"/>
      <c r="H7" s="18" t="s">
        <v>73</v>
      </c>
      <c r="I7" s="14" t="n">
        <v>1150.0</v>
      </c>
      <c r="J7" s="14" t="n">
        <v>1350.0</v>
      </c>
      <c r="K7" s="22" t="s">
        <v>74</v>
      </c>
      <c r="L7" s="14" t="n">
        <v>15.0</v>
      </c>
      <c r="M7" s="23">
        <f>L7*I7*J7/1000</f>
      </c>
      <c r="N7" s="23">
        <f>(H7/1000000)*J7*I7*1.06*L7</f>
      </c>
      <c r="O7" s="24"/>
      <c r="P7" s="25" t="n">
        <v>1.0</v>
      </c>
      <c r="Q7" s="18"/>
      <c r="R7" s="14"/>
      <c r="S7" s="14"/>
      <c r="T7" s="14"/>
      <c r="U7" s="14"/>
      <c r="V7" s="14"/>
      <c r="W7" s="14"/>
      <c r="X7" s="18"/>
      <c r="Y7" s="18"/>
      <c r="Z7" s="18"/>
      <c r="AA7" s="18"/>
      <c r="AB7" s="30"/>
      <c r="AC7" s="31"/>
      <c r="AD7" s="30"/>
      <c r="AE7" s="18">
        <f>H7</f>
      </c>
      <c r="AF7" s="18">
        <f>I7</f>
      </c>
      <c r="AG7" s="18">
        <f>J7</f>
      </c>
      <c r="AH7" s="30">
        <f>L7</f>
      </c>
      <c r="AI7" s="30">
        <f>K7</f>
      </c>
      <c r="AJ7" s="18"/>
      <c r="AK7" s="23">
        <f>AE7*AG7*AF7*1/1000000</f>
      </c>
      <c r="AL7" s="33">
        <f>SQRT(H7*J7*1.05*4/3.14+183*183)</f>
      </c>
      <c r="AM7" s="30"/>
      <c r="AN7" s="30"/>
      <c r="AO7" s="30"/>
      <c r="AP7" s="22">
        <f>AH7*2</f>
      </c>
      <c r="AQ7" s="22"/>
      <c r="AR7" s="22"/>
      <c r="AS7" s="34"/>
      <c r="AT7" s="18"/>
      <c r="AU7" s="18"/>
      <c r="AV7" s="18"/>
      <c r="AW7" s="18"/>
      <c r="AX7" s="18"/>
      <c r="AY7" s="18"/>
      <c r="AZ7" s="18">
        <f>ROUNDUP(AH7/2,0)</f>
      </c>
      <c r="BA7" s="18"/>
      <c r="BB7" s="39"/>
      <c r="BC7" s="40"/>
      <c r="BD7" s="39"/>
      <c r="BE7" s="41"/>
      <c r="BF7" s="39"/>
      <c r="BG7" s="39"/>
      <c r="BH7" s="34"/>
    </row>
    <row r="8" ht="20.1" customHeight="true">
      <c r="A8" s="13" t="n">
        <v>2.0</v>
      </c>
      <c r="B8" s="14" t="s">
        <v>77</v>
      </c>
      <c r="C8" s="15" t="n">
        <v>2.0</v>
      </c>
      <c r="D8" s="16"/>
      <c r="E8" s="17"/>
      <c r="F8" s="18"/>
      <c r="G8" s="19"/>
      <c r="H8" s="18" t="s">
        <v>73</v>
      </c>
      <c r="I8" s="14" t="n">
        <v>740.0</v>
      </c>
      <c r="J8" s="14" t="n">
        <v>1350.0</v>
      </c>
      <c r="K8" s="22" t="s">
        <v>74</v>
      </c>
      <c r="L8" s="14" t="n">
        <v>8.0</v>
      </c>
      <c r="M8" s="23">
        <f>L8*I8*J8/1000</f>
      </c>
      <c r="N8" s="23">
        <f>(H8/1000000)*J8*I8*1.06*L8</f>
      </c>
      <c r="O8" s="24" t="s">
        <v>76</v>
      </c>
      <c r="P8" s="25" t="n">
        <v>1.0</v>
      </c>
      <c r="Q8" s="18">
        <f>(4600-R8-S8-T8-U8-V8-W8)/2</f>
      </c>
      <c r="R8" s="14" t="n">
        <v>740.0</v>
      </c>
      <c r="S8" s="14" t="n">
        <v>1150.0</v>
      </c>
      <c r="T8" s="14" t="n">
        <v>1480.0</v>
      </c>
      <c r="U8" s="14"/>
      <c r="V8" s="14"/>
      <c r="W8" s="14"/>
      <c r="X8" s="18"/>
      <c r="Y8" s="18"/>
      <c r="Z8" s="18">
        <f>(4600-R8-S8-T8-U8-V8-W8)/2</f>
      </c>
      <c r="AA8" s="18" t="n">
        <v>8.0</v>
      </c>
      <c r="AB8" s="30">
        <f>R8+S8+T8+U8+V8+W8</f>
      </c>
      <c r="AC8" s="31">
        <f>AB8/4600</f>
      </c>
      <c r="AD8" s="30"/>
      <c r="AE8" s="18">
        <f>H8</f>
      </c>
      <c r="AF8" s="18">
        <f>I8</f>
      </c>
      <c r="AG8" s="18">
        <f>J8</f>
      </c>
      <c r="AH8" s="30">
        <f>L8</f>
      </c>
      <c r="AI8" s="30">
        <f>K8</f>
      </c>
      <c r="AJ8" s="18"/>
      <c r="AK8" s="23">
        <f>AE8*AG8*AF8*1/1000000</f>
      </c>
      <c r="AL8" s="33">
        <f>SQRT(H8*J8*1.05*4/3.14+183*183)</f>
      </c>
      <c r="AM8" s="30"/>
      <c r="AN8" s="30"/>
      <c r="AO8" s="30"/>
      <c r="AP8" s="22">
        <f>AH8*2</f>
      </c>
      <c r="AQ8" s="22"/>
      <c r="AR8" s="22"/>
      <c r="AS8" s="34"/>
      <c r="AT8" s="18"/>
      <c r="AU8" s="18"/>
      <c r="AV8" s="18"/>
      <c r="AW8" s="18"/>
      <c r="AX8" s="18"/>
      <c r="AY8" s="18"/>
      <c r="AZ8" s="18">
        <f>ROUNDUP(AH8/2,0)</f>
      </c>
      <c r="BA8" s="18"/>
      <c r="BB8" s="39"/>
      <c r="BC8" s="40"/>
      <c r="BD8" s="39"/>
      <c r="BE8" s="41"/>
      <c r="BF8" s="39"/>
      <c r="BG8" s="39"/>
      <c r="BH8" s="34"/>
    </row>
    <row r="9" ht="20.1" customHeight="true">
      <c r="A9" s="13"/>
      <c r="B9" s="14" t="s">
        <v>77</v>
      </c>
      <c r="C9" s="15" t="n">
        <v>12.0</v>
      </c>
      <c r="D9" s="16"/>
      <c r="E9" s="17"/>
      <c r="F9" s="18"/>
      <c r="G9" s="19"/>
      <c r="H9" s="18" t="s">
        <v>73</v>
      </c>
      <c r="I9" s="14" t="n">
        <v>1150.0</v>
      </c>
      <c r="J9" s="14" t="n">
        <v>1350.0</v>
      </c>
      <c r="K9" s="22" t="s">
        <v>74</v>
      </c>
      <c r="L9" s="14" t="n">
        <v>8.0</v>
      </c>
      <c r="M9" s="23">
        <f>L9*I9*J9/1000</f>
      </c>
      <c r="N9" s="23">
        <f>(H9/1000000)*J9*I9*1.06*L9</f>
      </c>
      <c r="O9" s="24"/>
      <c r="P9" s="25" t="n">
        <v>1.0</v>
      </c>
      <c r="Q9" s="18"/>
      <c r="R9" s="14"/>
      <c r="S9" s="14"/>
      <c r="T9" s="14"/>
      <c r="U9" s="14"/>
      <c r="V9" s="14"/>
      <c r="W9" s="14"/>
      <c r="X9" s="18"/>
      <c r="Y9" s="18"/>
      <c r="Z9" s="18"/>
      <c r="AA9" s="18"/>
      <c r="AB9" s="30"/>
      <c r="AC9" s="31"/>
      <c r="AD9" s="30"/>
      <c r="AE9" s="18">
        <f>H9</f>
      </c>
      <c r="AF9" s="18">
        <f>I9</f>
      </c>
      <c r="AG9" s="18">
        <f>J9</f>
      </c>
      <c r="AH9" s="30">
        <f>L9</f>
      </c>
      <c r="AI9" s="30">
        <f>K9</f>
      </c>
      <c r="AJ9" s="18"/>
      <c r="AK9" s="23">
        <f>AE9*AG9*AF9*1/1000000</f>
      </c>
      <c r="AL9" s="33">
        <f>SQRT(H9*J9*1.05*4/3.14+183*183)</f>
      </c>
      <c r="AM9" s="30"/>
      <c r="AN9" s="30"/>
      <c r="AO9" s="30"/>
      <c r="AP9" s="22">
        <f>AH9*2</f>
      </c>
      <c r="AQ9" s="22"/>
      <c r="AR9" s="22"/>
      <c r="AS9" s="34"/>
      <c r="AT9" s="18"/>
      <c r="AU9" s="18"/>
      <c r="AV9" s="18"/>
      <c r="AW9" s="18"/>
      <c r="AX9" s="18"/>
      <c r="AY9" s="18"/>
      <c r="AZ9" s="18">
        <f>ROUNDUP(AH9/2,0)</f>
      </c>
      <c r="BA9" s="18"/>
      <c r="BB9" s="39"/>
      <c r="BC9" s="40"/>
      <c r="BD9" s="39"/>
      <c r="BE9" s="41"/>
      <c r="BF9" s="39"/>
      <c r="BG9" s="39"/>
      <c r="BH9" s="34"/>
    </row>
    <row r="10" ht="20.1" customHeight="true">
      <c r="A10" s="13"/>
      <c r="B10" s="14" t="s">
        <v>77</v>
      </c>
      <c r="C10" s="15" t="n">
        <v>15.0</v>
      </c>
      <c r="D10" s="16"/>
      <c r="E10" s="17"/>
      <c r="F10" s="18"/>
      <c r="G10" s="19"/>
      <c r="H10" s="18" t="s">
        <v>73</v>
      </c>
      <c r="I10" s="14" t="n">
        <v>1480.0</v>
      </c>
      <c r="J10" s="14" t="n">
        <v>1350.0</v>
      </c>
      <c r="K10" s="22" t="s">
        <v>74</v>
      </c>
      <c r="L10" s="14" t="n">
        <v>8.0</v>
      </c>
      <c r="M10" s="23">
        <f>L10*I10*J10/1000</f>
      </c>
      <c r="N10" s="23">
        <f>(H10/1000000)*J10*I10*1.06*L10</f>
      </c>
      <c r="O10" s="24"/>
      <c r="P10" s="25" t="n">
        <v>1.0</v>
      </c>
      <c r="Q10" s="18"/>
      <c r="R10" s="14"/>
      <c r="S10" s="14"/>
      <c r="T10" s="14"/>
      <c r="U10" s="14"/>
      <c r="V10" s="14"/>
      <c r="W10" s="14"/>
      <c r="X10" s="18"/>
      <c r="Y10" s="18"/>
      <c r="Z10" s="18"/>
      <c r="AA10" s="18"/>
      <c r="AB10" s="30"/>
      <c r="AC10" s="31"/>
      <c r="AD10" s="30"/>
      <c r="AE10" s="18">
        <f>H10</f>
      </c>
      <c r="AF10" s="18">
        <f>I10</f>
      </c>
      <c r="AG10" s="18">
        <f>J10</f>
      </c>
      <c r="AH10" s="30">
        <f>L10</f>
      </c>
      <c r="AI10" s="30">
        <f>K10</f>
      </c>
      <c r="AJ10" s="18"/>
      <c r="AK10" s="23">
        <f>AE10*AG10*AF10*1/1000000</f>
      </c>
      <c r="AL10" s="33">
        <f>SQRT(H10*J10*1.05*4/3.14+183*183)</f>
      </c>
      <c r="AM10" s="30"/>
      <c r="AN10" s="30"/>
      <c r="AO10" s="30"/>
      <c r="AP10" s="22">
        <f>AH10*2</f>
      </c>
      <c r="AQ10" s="22"/>
      <c r="AR10" s="22"/>
      <c r="AS10" s="34"/>
      <c r="AT10" s="18"/>
      <c r="AU10" s="18"/>
      <c r="AV10" s="18"/>
      <c r="AW10" s="18"/>
      <c r="AX10" s="18"/>
      <c r="AY10" s="18"/>
      <c r="AZ10" s="18">
        <f>ROUNDUP(AH10/2,0)</f>
      </c>
      <c r="BA10" s="18"/>
      <c r="BB10" s="39"/>
      <c r="BC10" s="40"/>
      <c r="BD10" s="39"/>
      <c r="BE10" s="41"/>
      <c r="BF10" s="39"/>
      <c r="BG10" s="39"/>
      <c r="BH10" s="34"/>
    </row>
    <row r="11" ht="20.1" customHeight="true">
      <c r="A11" s="13" t="n">
        <v>3.0</v>
      </c>
      <c r="B11" s="14" t="s">
        <v>75</v>
      </c>
      <c r="C11" s="15" t="n">
        <v>3.0</v>
      </c>
      <c r="D11" s="16"/>
      <c r="E11" s="17"/>
      <c r="F11" s="18"/>
      <c r="G11" s="19"/>
      <c r="H11" s="18" t="s">
        <v>73</v>
      </c>
      <c r="I11" s="14" t="n">
        <v>740.0</v>
      </c>
      <c r="J11" s="14" t="n">
        <v>1350.0</v>
      </c>
      <c r="K11" s="22" t="s">
        <v>74</v>
      </c>
      <c r="L11" s="14" t="n">
        <v>2.0</v>
      </c>
      <c r="M11" s="23">
        <f>L11*I11*J11/1000</f>
      </c>
      <c r="N11" s="23">
        <f>(H11/1000000)*J11*I11*1.06*L11</f>
      </c>
      <c r="O11" s="24" t="s">
        <v>76</v>
      </c>
      <c r="P11" s="25" t="n">
        <v>1.0</v>
      </c>
      <c r="Q11" s="18">
        <f>(4600-R11-S11-T11-U11-V11-W11)/2</f>
      </c>
      <c r="R11" s="14" t="n">
        <v>740.0</v>
      </c>
      <c r="S11" s="14" t="n">
        <v>1150.0</v>
      </c>
      <c r="T11" s="14" t="n">
        <v>1480.0</v>
      </c>
      <c r="U11" s="14"/>
      <c r="V11" s="14"/>
      <c r="W11" s="14"/>
      <c r="X11" s="18"/>
      <c r="Y11" s="18"/>
      <c r="Z11" s="18">
        <f>(4600-R11-S11-T11-U11-V11-W11)/2</f>
      </c>
      <c r="AA11" s="18" t="n">
        <v>2.0</v>
      </c>
      <c r="AB11" s="30">
        <f>R11+S11+T11+U11+V11+W11</f>
      </c>
      <c r="AC11" s="31">
        <f>AB11/4600</f>
      </c>
      <c r="AD11" s="30"/>
      <c r="AE11" s="18">
        <f>H11</f>
      </c>
      <c r="AF11" s="18">
        <f>I11</f>
      </c>
      <c r="AG11" s="18">
        <f>J11</f>
      </c>
      <c r="AH11" s="30">
        <f>L11</f>
      </c>
      <c r="AI11" s="30">
        <f>K11</f>
      </c>
      <c r="AJ11" s="18"/>
      <c r="AK11" s="23">
        <f>AE11*AG11*AF11*1/1000000</f>
      </c>
      <c r="AL11" s="33">
        <f>SQRT(H11*J11*1.05*4/3.14+183*183)</f>
      </c>
      <c r="AM11" s="30"/>
      <c r="AN11" s="30"/>
      <c r="AO11" s="30"/>
      <c r="AP11" s="22">
        <f>AH11*2</f>
      </c>
      <c r="AQ11" s="22"/>
      <c r="AR11" s="22"/>
      <c r="AS11" s="34"/>
      <c r="AT11" s="18"/>
      <c r="AU11" s="18"/>
      <c r="AV11" s="18"/>
      <c r="AW11" s="18"/>
      <c r="AX11" s="18"/>
      <c r="AY11" s="18"/>
      <c r="AZ11" s="18">
        <f>ROUNDUP(AH11/2,0)</f>
      </c>
      <c r="BA11" s="18"/>
      <c r="BB11" s="39"/>
      <c r="BC11" s="40"/>
      <c r="BD11" s="39"/>
      <c r="BE11" s="41"/>
      <c r="BF11" s="39"/>
      <c r="BG11" s="39"/>
      <c r="BH11" s="34"/>
    </row>
    <row r="12" ht="20.1" customHeight="true">
      <c r="A12" s="13"/>
      <c r="B12" s="14" t="s">
        <v>75</v>
      </c>
      <c r="C12" s="15" t="n">
        <v>13.0</v>
      </c>
      <c r="D12" s="16"/>
      <c r="E12" s="17"/>
      <c r="F12" s="18"/>
      <c r="G12" s="19"/>
      <c r="H12" s="18" t="s">
        <v>73</v>
      </c>
      <c r="I12" s="14" t="n">
        <v>1150.0</v>
      </c>
      <c r="J12" s="14" t="n">
        <v>1350.0</v>
      </c>
      <c r="K12" s="22" t="s">
        <v>74</v>
      </c>
      <c r="L12" s="14" t="n">
        <v>2.0</v>
      </c>
      <c r="M12" s="23">
        <f>L12*I12*J12/1000</f>
      </c>
      <c r="N12" s="23">
        <f>(H12/1000000)*J12*I12*1.06*L12</f>
      </c>
      <c r="O12" s="24"/>
      <c r="P12" s="25" t="n">
        <v>1.0</v>
      </c>
      <c r="Q12" s="18"/>
      <c r="R12" s="14"/>
      <c r="S12" s="14"/>
      <c r="T12" s="14"/>
      <c r="U12" s="14"/>
      <c r="V12" s="14"/>
      <c r="W12" s="14"/>
      <c r="X12" s="18"/>
      <c r="Y12" s="18"/>
      <c r="Z12" s="18"/>
      <c r="AA12" s="18"/>
      <c r="AB12" s="30"/>
      <c r="AC12" s="31"/>
      <c r="AD12" s="30"/>
      <c r="AE12" s="18">
        <f>H12</f>
      </c>
      <c r="AF12" s="18">
        <f>I12</f>
      </c>
      <c r="AG12" s="18">
        <f>J12</f>
      </c>
      <c r="AH12" s="30">
        <f>L12</f>
      </c>
      <c r="AI12" s="30">
        <f>K12</f>
      </c>
      <c r="AJ12" s="18"/>
      <c r="AK12" s="23">
        <f>AE12*AG12*AF12*1/1000000</f>
      </c>
      <c r="AL12" s="33">
        <f>SQRT(H12*J12*1.05*4/3.14+183*183)</f>
      </c>
      <c r="AM12" s="30"/>
      <c r="AN12" s="30"/>
      <c r="AO12" s="30"/>
      <c r="AP12" s="22">
        <f>AH12*2</f>
      </c>
      <c r="AQ12" s="22"/>
      <c r="AR12" s="22"/>
      <c r="AS12" s="34"/>
      <c r="AT12" s="18"/>
      <c r="AU12" s="18"/>
      <c r="AV12" s="18"/>
      <c r="AW12" s="18"/>
      <c r="AX12" s="18"/>
      <c r="AY12" s="18"/>
      <c r="AZ12" s="18">
        <f>ROUNDUP(AH12/2,0)</f>
      </c>
      <c r="BA12" s="18"/>
      <c r="BB12" s="39"/>
      <c r="BC12" s="40"/>
      <c r="BD12" s="39"/>
      <c r="BE12" s="41"/>
      <c r="BF12" s="39"/>
      <c r="BG12" s="39"/>
      <c r="BH12" s="34"/>
    </row>
    <row r="13" ht="20.1" customHeight="true">
      <c r="A13" s="13"/>
      <c r="B13" s="14" t="s">
        <v>75</v>
      </c>
      <c r="C13" s="15" t="n">
        <v>16.0</v>
      </c>
      <c r="D13" s="16"/>
      <c r="E13" s="17"/>
      <c r="F13" s="18"/>
      <c r="G13" s="19"/>
      <c r="H13" s="18" t="s">
        <v>73</v>
      </c>
      <c r="I13" s="14" t="n">
        <v>1480.0</v>
      </c>
      <c r="J13" s="14" t="n">
        <v>1350.0</v>
      </c>
      <c r="K13" s="22" t="s">
        <v>74</v>
      </c>
      <c r="L13" s="14" t="n">
        <v>2.0</v>
      </c>
      <c r="M13" s="23">
        <f>L13*I13*J13/1000</f>
      </c>
      <c r="N13" s="23">
        <f>(H13/1000000)*J13*I13*1.06*L13</f>
      </c>
      <c r="O13" s="24"/>
      <c r="P13" s="25" t="n">
        <v>1.0</v>
      </c>
      <c r="Q13" s="18"/>
      <c r="R13" s="14"/>
      <c r="S13" s="14"/>
      <c r="T13" s="14"/>
      <c r="U13" s="14"/>
      <c r="V13" s="14"/>
      <c r="W13" s="14"/>
      <c r="X13" s="18"/>
      <c r="Y13" s="18"/>
      <c r="Z13" s="18"/>
      <c r="AA13" s="18"/>
      <c r="AB13" s="30"/>
      <c r="AC13" s="31"/>
      <c r="AD13" s="30"/>
      <c r="AE13" s="18">
        <f>H13</f>
      </c>
      <c r="AF13" s="18">
        <f>I13</f>
      </c>
      <c r="AG13" s="18">
        <f>J13</f>
      </c>
      <c r="AH13" s="30">
        <f>L13</f>
      </c>
      <c r="AI13" s="30">
        <f>K13</f>
      </c>
      <c r="AJ13" s="18"/>
      <c r="AK13" s="23">
        <f>AE13*AG13*AF13*1/1000000</f>
      </c>
      <c r="AL13" s="33">
        <f>SQRT(H13*J13*1.05*4/3.14+183*183)</f>
      </c>
      <c r="AM13" s="30"/>
      <c r="AN13" s="30"/>
      <c r="AO13" s="30"/>
      <c r="AP13" s="22">
        <f>AH13*2</f>
      </c>
      <c r="AQ13" s="22"/>
      <c r="AR13" s="22"/>
      <c r="AS13" s="34"/>
      <c r="AT13" s="18"/>
      <c r="AU13" s="18"/>
      <c r="AV13" s="18"/>
      <c r="AW13" s="18"/>
      <c r="AX13" s="18"/>
      <c r="AY13" s="18"/>
      <c r="AZ13" s="18">
        <f>ROUNDUP(AH13/2,0)</f>
      </c>
      <c r="BA13" s="18"/>
      <c r="BB13" s="39"/>
      <c r="BC13" s="40"/>
      <c r="BD13" s="39"/>
      <c r="BE13" s="41"/>
      <c r="BF13" s="39"/>
      <c r="BG13" s="39"/>
      <c r="BH13" s="34"/>
    </row>
    <row r="14" ht="20.1" customHeight="true">
      <c r="A14" s="13" t="n">
        <v>4.0</v>
      </c>
      <c r="B14" s="14" t="s">
        <v>77</v>
      </c>
      <c r="C14" s="15" t="n">
        <v>2.0</v>
      </c>
      <c r="D14" s="16"/>
      <c r="E14" s="17"/>
      <c r="F14" s="18"/>
      <c r="G14" s="19"/>
      <c r="H14" s="18" t="s">
        <v>73</v>
      </c>
      <c r="I14" s="14" t="n">
        <v>740.0</v>
      </c>
      <c r="J14" s="14" t="n">
        <v>1350.0</v>
      </c>
      <c r="K14" s="22" t="s">
        <v>74</v>
      </c>
      <c r="L14" s="14" t="n">
        <v>1.0</v>
      </c>
      <c r="M14" s="23">
        <f>L14*I14*J14/1000</f>
      </c>
      <c r="N14" s="23">
        <f>(H14/1000000)*J14*I14*1.06*L14</f>
      </c>
      <c r="O14" s="24" t="s">
        <v>76</v>
      </c>
      <c r="P14" s="25" t="n">
        <v>1.0</v>
      </c>
      <c r="Q14" s="18">
        <f>(4600-R14-S14-T14-U14-V14-W14)/2</f>
      </c>
      <c r="R14" s="14" t="n">
        <v>740.0</v>
      </c>
      <c r="S14" s="14" t="n">
        <v>1150.0</v>
      </c>
      <c r="T14" s="14" t="n">
        <v>1480.0</v>
      </c>
      <c r="U14" s="14"/>
      <c r="V14" s="14"/>
      <c r="W14" s="14"/>
      <c r="X14" s="18"/>
      <c r="Y14" s="18"/>
      <c r="Z14" s="18">
        <f>(4600-R14-S14-T14-U14-V14-W14)/2</f>
      </c>
      <c r="AA14" s="18" t="n">
        <v>1.0</v>
      </c>
      <c r="AB14" s="30">
        <f>R14+S14+T14+U14+V14+W14</f>
      </c>
      <c r="AC14" s="31">
        <f>AB14/4600</f>
      </c>
      <c r="AD14" s="30"/>
      <c r="AE14" s="18">
        <f>H14</f>
      </c>
      <c r="AF14" s="18">
        <f>I14</f>
      </c>
      <c r="AG14" s="18">
        <f>J14</f>
      </c>
      <c r="AH14" s="30">
        <f>L14</f>
      </c>
      <c r="AI14" s="30">
        <f>K14</f>
      </c>
      <c r="AJ14" s="18"/>
      <c r="AK14" s="23">
        <f>AE14*AG14*AF14*1/1000000</f>
      </c>
      <c r="AL14" s="33">
        <f>SQRT(H14*J14*1.05*4/3.14+183*183)</f>
      </c>
      <c r="AM14" s="30"/>
      <c r="AN14" s="30"/>
      <c r="AO14" s="30"/>
      <c r="AP14" s="22">
        <f>AH14*2</f>
      </c>
      <c r="AQ14" s="22"/>
      <c r="AR14" s="22"/>
      <c r="AS14" s="34"/>
      <c r="AT14" s="18"/>
      <c r="AU14" s="18"/>
      <c r="AV14" s="18"/>
      <c r="AW14" s="18"/>
      <c r="AX14" s="18"/>
      <c r="AY14" s="18"/>
      <c r="AZ14" s="18">
        <f>ROUNDUP(AH14/2,0)</f>
      </c>
      <c r="BA14" s="18"/>
      <c r="BB14" s="39"/>
      <c r="BC14" s="40"/>
      <c r="BD14" s="39"/>
      <c r="BE14" s="41"/>
      <c r="BF14" s="39"/>
      <c r="BG14" s="39"/>
      <c r="BH14" s="34"/>
    </row>
    <row r="15" ht="20.1" customHeight="true">
      <c r="A15" s="13"/>
      <c r="B15" s="14" t="s">
        <v>75</v>
      </c>
      <c r="C15" s="15" t="n">
        <v>13.0</v>
      </c>
      <c r="D15" s="16"/>
      <c r="E15" s="17"/>
      <c r="F15" s="18"/>
      <c r="G15" s="19"/>
      <c r="H15" s="18" t="s">
        <v>73</v>
      </c>
      <c r="I15" s="14" t="n">
        <v>1150.0</v>
      </c>
      <c r="J15" s="14" t="n">
        <v>1350.0</v>
      </c>
      <c r="K15" s="22" t="s">
        <v>74</v>
      </c>
      <c r="L15" s="14" t="n">
        <v>1.0</v>
      </c>
      <c r="M15" s="23">
        <f>L15*I15*J15/1000</f>
      </c>
      <c r="N15" s="23">
        <f>(H15/1000000)*J15*I15*1.06*L15</f>
      </c>
      <c r="O15" s="24"/>
      <c r="P15" s="25" t="n">
        <v>1.0</v>
      </c>
      <c r="Q15" s="18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30"/>
      <c r="AC15" s="31"/>
      <c r="AD15" s="30"/>
      <c r="AE15" s="18">
        <f>H15</f>
      </c>
      <c r="AF15" s="18">
        <f>I15</f>
      </c>
      <c r="AG15" s="18">
        <f>J15</f>
      </c>
      <c r="AH15" s="30">
        <f>L15</f>
      </c>
      <c r="AI15" s="30">
        <f>K15</f>
      </c>
      <c r="AJ15" s="18"/>
      <c r="AK15" s="23">
        <f>AE15*AG15*AF15*1/1000000</f>
      </c>
      <c r="AL15" s="33">
        <f>SQRT(H15*J15*1.05*4/3.14+183*183)</f>
      </c>
      <c r="AM15" s="30"/>
      <c r="AN15" s="30"/>
      <c r="AO15" s="30"/>
      <c r="AP15" s="22">
        <f>AH15*2</f>
      </c>
      <c r="AQ15" s="22"/>
      <c r="AR15" s="22"/>
      <c r="AS15" s="34"/>
      <c r="AT15" s="18"/>
      <c r="AU15" s="18"/>
      <c r="AV15" s="18"/>
      <c r="AW15" s="18"/>
      <c r="AX15" s="18"/>
      <c r="AY15" s="18"/>
      <c r="AZ15" s="18">
        <f>ROUNDUP(AH15/2,0)</f>
      </c>
      <c r="BA15" s="18"/>
      <c r="BB15" s="39"/>
      <c r="BC15" s="40"/>
      <c r="BD15" s="39"/>
      <c r="BE15" s="41"/>
      <c r="BF15" s="39"/>
      <c r="BG15" s="39"/>
      <c r="BH15" s="34"/>
    </row>
    <row r="16" ht="20.1" customHeight="true">
      <c r="A16" s="13"/>
      <c r="B16" s="14" t="s">
        <v>75</v>
      </c>
      <c r="C16" s="15" t="n">
        <v>16.0</v>
      </c>
      <c r="D16" s="16"/>
      <c r="E16" s="17"/>
      <c r="F16" s="18"/>
      <c r="G16" s="19"/>
      <c r="H16" s="18" t="s">
        <v>73</v>
      </c>
      <c r="I16" s="14" t="n">
        <v>1480.0</v>
      </c>
      <c r="J16" s="14" t="n">
        <v>1350.0</v>
      </c>
      <c r="K16" s="22" t="s">
        <v>74</v>
      </c>
      <c r="L16" s="14" t="n">
        <v>1.0</v>
      </c>
      <c r="M16" s="23">
        <f>L16*I16*J16/1000</f>
      </c>
      <c r="N16" s="23">
        <f>(H16/1000000)*J16*I16*1.06*L16</f>
      </c>
      <c r="O16" s="24"/>
      <c r="P16" s="25" t="n">
        <v>1.0</v>
      </c>
      <c r="Q16" s="18"/>
      <c r="R16" s="14"/>
      <c r="S16" s="14"/>
      <c r="T16" s="14"/>
      <c r="U16" s="14"/>
      <c r="V16" s="14"/>
      <c r="W16" s="14"/>
      <c r="X16" s="18"/>
      <c r="Y16" s="18"/>
      <c r="Z16" s="18"/>
      <c r="AA16" s="18"/>
      <c r="AB16" s="30"/>
      <c r="AC16" s="31"/>
      <c r="AD16" s="30"/>
      <c r="AE16" s="18">
        <f>H16</f>
      </c>
      <c r="AF16" s="18">
        <f>I16</f>
      </c>
      <c r="AG16" s="18">
        <f>J16</f>
      </c>
      <c r="AH16" s="30">
        <f>L16</f>
      </c>
      <c r="AI16" s="30">
        <f>K16</f>
      </c>
      <c r="AJ16" s="18"/>
      <c r="AK16" s="23">
        <f>AE16*AG16*AF16*1/1000000</f>
      </c>
      <c r="AL16" s="33">
        <f>SQRT(H16*J16*1.05*4/3.14+183*183)</f>
      </c>
      <c r="AM16" s="30"/>
      <c r="AN16" s="30"/>
      <c r="AO16" s="30"/>
      <c r="AP16" s="22">
        <f>AH16*2</f>
      </c>
      <c r="AQ16" s="22"/>
      <c r="AR16" s="22"/>
      <c r="AS16" s="34"/>
      <c r="AT16" s="18"/>
      <c r="AU16" s="18"/>
      <c r="AV16" s="18"/>
      <c r="AW16" s="18"/>
      <c r="AX16" s="18"/>
      <c r="AY16" s="18"/>
      <c r="AZ16" s="18">
        <f>ROUNDUP(AH16/2,0)</f>
      </c>
      <c r="BA16" s="18"/>
      <c r="BB16" s="39"/>
      <c r="BC16" s="40"/>
      <c r="BD16" s="39"/>
      <c r="BE16" s="41"/>
      <c r="BF16" s="39"/>
      <c r="BG16" s="39"/>
      <c r="BH16" s="34"/>
    </row>
    <row r="17" ht="20.1" customHeight="true">
      <c r="A17" s="13" t="n">
        <v>5.0</v>
      </c>
      <c r="B17" s="14" t="s">
        <v>77</v>
      </c>
      <c r="C17" s="15" t="n">
        <v>9.0</v>
      </c>
      <c r="D17" s="16"/>
      <c r="E17" s="17"/>
      <c r="F17" s="18"/>
      <c r="G17" s="19"/>
      <c r="H17" s="18" t="s">
        <v>73</v>
      </c>
      <c r="I17" s="14" t="n">
        <v>990.0</v>
      </c>
      <c r="J17" s="14" t="n">
        <v>1350.0</v>
      </c>
      <c r="K17" s="22" t="s">
        <v>74</v>
      </c>
      <c r="L17" s="14" t="n">
        <v>28.0</v>
      </c>
      <c r="M17" s="23">
        <f>L17*I17*J17/1000</f>
      </c>
      <c r="N17" s="23">
        <f>(H17/1000000)*J17*I17*1.06*L17</f>
      </c>
      <c r="O17" s="24" t="s">
        <v>76</v>
      </c>
      <c r="P17" s="25" t="n">
        <v>1.0</v>
      </c>
      <c r="Q17" s="18">
        <f>(4600-R17-S17-T17-U17-V17-W17)/2</f>
      </c>
      <c r="R17" s="14" t="n">
        <v>990.0</v>
      </c>
      <c r="S17" s="14" t="n">
        <v>1150.0</v>
      </c>
      <c r="T17" s="14" t="n">
        <v>1150.0</v>
      </c>
      <c r="U17" s="14"/>
      <c r="V17" s="14"/>
      <c r="W17" s="14"/>
      <c r="X17" s="18"/>
      <c r="Y17" s="18"/>
      <c r="Z17" s="18">
        <f>(4600-R17-S17-T17-U17-V17-W17)/2</f>
      </c>
      <c r="AA17" s="18" t="n">
        <v>28.0</v>
      </c>
      <c r="AB17" s="30">
        <f>R17+S17+T17+U17+V17+W17</f>
      </c>
      <c r="AC17" s="31">
        <f>AB17/4600</f>
      </c>
      <c r="AD17" s="30"/>
      <c r="AE17" s="18">
        <f>H17</f>
      </c>
      <c r="AF17" s="18">
        <f>I17</f>
      </c>
      <c r="AG17" s="18">
        <f>J17</f>
      </c>
      <c r="AH17" s="30">
        <f>L17</f>
      </c>
      <c r="AI17" s="30">
        <f>K17</f>
      </c>
      <c r="AJ17" s="18"/>
      <c r="AK17" s="23">
        <f>AE17*AG17*AF17*1/1000000</f>
      </c>
      <c r="AL17" s="33">
        <f>SQRT(H17*J17*1.05*4/3.14+183*183)</f>
      </c>
      <c r="AM17" s="30"/>
      <c r="AN17" s="30"/>
      <c r="AO17" s="30"/>
      <c r="AP17" s="22">
        <f>AH17*2</f>
      </c>
      <c r="AQ17" s="22"/>
      <c r="AR17" s="22"/>
      <c r="AS17" s="34"/>
      <c r="AT17" s="18"/>
      <c r="AU17" s="18"/>
      <c r="AV17" s="18"/>
      <c r="AW17" s="18"/>
      <c r="AX17" s="18"/>
      <c r="AY17" s="18"/>
      <c r="AZ17" s="18">
        <f>ROUNDUP(AH17/2,0)</f>
      </c>
      <c r="BA17" s="18"/>
      <c r="BB17" s="39"/>
      <c r="BC17" s="40"/>
      <c r="BD17" s="39"/>
      <c r="BE17" s="41"/>
      <c r="BF17" s="39"/>
      <c r="BG17" s="39"/>
      <c r="BH17" s="34"/>
    </row>
    <row r="18" ht="20.1" customHeight="true">
      <c r="A18" s="13"/>
      <c r="B18" s="14" t="s">
        <v>75</v>
      </c>
      <c r="C18" s="15" t="n">
        <v>13.0</v>
      </c>
      <c r="D18" s="16"/>
      <c r="E18" s="17"/>
      <c r="F18" s="18"/>
      <c r="G18" s="19"/>
      <c r="H18" s="18" t="s">
        <v>73</v>
      </c>
      <c r="I18" s="14" t="n">
        <v>1150.0</v>
      </c>
      <c r="J18" s="14" t="n">
        <v>1350.0</v>
      </c>
      <c r="K18" s="22" t="s">
        <v>74</v>
      </c>
      <c r="L18" s="14" t="n">
        <v>56.0</v>
      </c>
      <c r="M18" s="23">
        <f>L18*I18*J18/1000</f>
      </c>
      <c r="N18" s="23">
        <f>(H18/1000000)*J18*I18*1.06*L18</f>
      </c>
      <c r="O18" s="24"/>
      <c r="P18" s="25" t="n">
        <v>2.0</v>
      </c>
      <c r="Q18" s="18"/>
      <c r="R18" s="14"/>
      <c r="S18" s="14"/>
      <c r="T18" s="14"/>
      <c r="U18" s="14"/>
      <c r="V18" s="14"/>
      <c r="W18" s="14"/>
      <c r="X18" s="18"/>
      <c r="Y18" s="18"/>
      <c r="Z18" s="18"/>
      <c r="AA18" s="18"/>
      <c r="AB18" s="30"/>
      <c r="AC18" s="31"/>
      <c r="AD18" s="30"/>
      <c r="AE18" s="18">
        <f>H18</f>
      </c>
      <c r="AF18" s="18">
        <f>I18</f>
      </c>
      <c r="AG18" s="18">
        <f>J18</f>
      </c>
      <c r="AH18" s="30">
        <f>L18</f>
      </c>
      <c r="AI18" s="30">
        <f>K18</f>
      </c>
      <c r="AJ18" s="18"/>
      <c r="AK18" s="23">
        <f>AE18*AG18*AF18*1/1000000</f>
      </c>
      <c r="AL18" s="33">
        <f>SQRT(H18*J18*1.05*4/3.14+183*183)</f>
      </c>
      <c r="AM18" s="30"/>
      <c r="AN18" s="30"/>
      <c r="AO18" s="30"/>
      <c r="AP18" s="22">
        <f>AH18*2</f>
      </c>
      <c r="AQ18" s="22"/>
      <c r="AR18" s="22"/>
      <c r="AS18" s="34"/>
      <c r="AT18" s="18"/>
      <c r="AU18" s="18"/>
      <c r="AV18" s="18"/>
      <c r="AW18" s="18"/>
      <c r="AX18" s="18"/>
      <c r="AY18" s="18"/>
      <c r="AZ18" s="18">
        <f>ROUNDUP(AH18/2,0)</f>
      </c>
      <c r="BA18" s="18"/>
      <c r="BB18" s="39"/>
      <c r="BC18" s="40"/>
      <c r="BD18" s="39"/>
      <c r="BE18" s="41"/>
      <c r="BF18" s="39"/>
      <c r="BG18" s="39"/>
      <c r="BH18" s="34"/>
    </row>
    <row r="19" ht="20.1" customHeight="true">
      <c r="A19" s="13" t="n">
        <v>6.0</v>
      </c>
      <c r="B19" s="14" t="s">
        <v>75</v>
      </c>
      <c r="C19" s="15" t="n">
        <v>10.0</v>
      </c>
      <c r="D19" s="16"/>
      <c r="E19" s="17"/>
      <c r="F19" s="18"/>
      <c r="G19" s="19"/>
      <c r="H19" s="18" t="s">
        <v>73</v>
      </c>
      <c r="I19" s="14" t="n">
        <v>990.0</v>
      </c>
      <c r="J19" s="14" t="n">
        <v>1350.0</v>
      </c>
      <c r="K19" s="22" t="s">
        <v>74</v>
      </c>
      <c r="L19" s="14" t="n">
        <v>8.0</v>
      </c>
      <c r="M19" s="23">
        <f>L19*I19*J19/1000</f>
      </c>
      <c r="N19" s="23">
        <f>(H19/1000000)*J19*I19*1.06*L19</f>
      </c>
      <c r="O19" s="24" t="s">
        <v>76</v>
      </c>
      <c r="P19" s="25" t="n">
        <v>1.0</v>
      </c>
      <c r="Q19" s="18">
        <f>(4600-R19-S19-T19-U19-V19-W19)/2</f>
      </c>
      <c r="R19" s="14" t="n">
        <v>990.0</v>
      </c>
      <c r="S19" s="14" t="n">
        <v>1150.0</v>
      </c>
      <c r="T19" s="14" t="n">
        <v>1150.0</v>
      </c>
      <c r="U19" s="14"/>
      <c r="V19" s="14"/>
      <c r="W19" s="14"/>
      <c r="X19" s="18"/>
      <c r="Y19" s="18"/>
      <c r="Z19" s="18">
        <f>(4600-R19-S19-T19-U19-V19-W19)/2</f>
      </c>
      <c r="AA19" s="18" t="n">
        <v>8.0</v>
      </c>
      <c r="AB19" s="30">
        <f>R19+S19+T19+U19+V19+W19</f>
      </c>
      <c r="AC19" s="31">
        <f>AB19/4600</f>
      </c>
      <c r="AD19" s="30"/>
      <c r="AE19" s="18">
        <f>H19</f>
      </c>
      <c r="AF19" s="18">
        <f>I19</f>
      </c>
      <c r="AG19" s="18">
        <f>J19</f>
      </c>
      <c r="AH19" s="30">
        <f>L19</f>
      </c>
      <c r="AI19" s="30">
        <f>K19</f>
      </c>
      <c r="AJ19" s="18"/>
      <c r="AK19" s="23">
        <f>AE19*AG19*AF19*1/1000000</f>
      </c>
      <c r="AL19" s="33">
        <f>SQRT(H19*J19*1.05*4/3.14+183*183)</f>
      </c>
      <c r="AM19" s="30"/>
      <c r="AN19" s="30"/>
      <c r="AO19" s="30"/>
      <c r="AP19" s="22">
        <f>AH19*2</f>
      </c>
      <c r="AQ19" s="22"/>
      <c r="AR19" s="22"/>
      <c r="AS19" s="34"/>
      <c r="AT19" s="18"/>
      <c r="AU19" s="18"/>
      <c r="AV19" s="18"/>
      <c r="AW19" s="18"/>
      <c r="AX19" s="18"/>
      <c r="AY19" s="18"/>
      <c r="AZ19" s="18">
        <f>ROUNDUP(AH19/2,0)</f>
      </c>
      <c r="BA19" s="18"/>
      <c r="BB19" s="39"/>
      <c r="BC19" s="40"/>
      <c r="BD19" s="39"/>
      <c r="BE19" s="41"/>
      <c r="BF19" s="39"/>
      <c r="BG19" s="39"/>
      <c r="BH19" s="34"/>
    </row>
    <row r="20" ht="20.1" customHeight="true">
      <c r="A20" s="13"/>
      <c r="B20" s="14" t="s">
        <v>75</v>
      </c>
      <c r="C20" s="15" t="n">
        <v>13.0</v>
      </c>
      <c r="D20" s="16"/>
      <c r="E20" s="17"/>
      <c r="F20" s="18"/>
      <c r="G20" s="19"/>
      <c r="H20" s="18" t="s">
        <v>73</v>
      </c>
      <c r="I20" s="14" t="n">
        <v>1150.0</v>
      </c>
      <c r="J20" s="14" t="n">
        <v>1350.0</v>
      </c>
      <c r="K20" s="22" t="s">
        <v>74</v>
      </c>
      <c r="L20" s="14" t="n">
        <v>16.0</v>
      </c>
      <c r="M20" s="23">
        <f>L20*I20*J20/1000</f>
      </c>
      <c r="N20" s="23">
        <f>(H20/1000000)*J20*I20*1.06*L20</f>
      </c>
      <c r="O20" s="24"/>
      <c r="P20" s="25" t="n">
        <v>2.0</v>
      </c>
      <c r="Q20" s="18"/>
      <c r="R20" s="14"/>
      <c r="S20" s="14"/>
      <c r="T20" s="14"/>
      <c r="U20" s="14"/>
      <c r="V20" s="14"/>
      <c r="W20" s="14"/>
      <c r="X20" s="18"/>
      <c r="Y20" s="18"/>
      <c r="Z20" s="18"/>
      <c r="AA20" s="18"/>
      <c r="AB20" s="30"/>
      <c r="AC20" s="31"/>
      <c r="AD20" s="30"/>
      <c r="AE20" s="18">
        <f>H20</f>
      </c>
      <c r="AF20" s="18">
        <f>I20</f>
      </c>
      <c r="AG20" s="18">
        <f>J20</f>
      </c>
      <c r="AH20" s="30">
        <f>L20</f>
      </c>
      <c r="AI20" s="30">
        <f>K20</f>
      </c>
      <c r="AJ20" s="18"/>
      <c r="AK20" s="23">
        <f>AE20*AG20*AF20*1/1000000</f>
      </c>
      <c r="AL20" s="33">
        <f>SQRT(H20*J20*1.05*4/3.14+183*183)</f>
      </c>
      <c r="AM20" s="30"/>
      <c r="AN20" s="30"/>
      <c r="AO20" s="30"/>
      <c r="AP20" s="22">
        <f>AH20*2</f>
      </c>
      <c r="AQ20" s="22"/>
      <c r="AR20" s="22"/>
      <c r="AS20" s="34"/>
      <c r="AT20" s="18"/>
      <c r="AU20" s="18"/>
      <c r="AV20" s="18"/>
      <c r="AW20" s="18"/>
      <c r="AX20" s="18"/>
      <c r="AY20" s="18"/>
      <c r="AZ20" s="18">
        <f>ROUNDUP(AH20/2,0)</f>
      </c>
      <c r="BA20" s="18"/>
      <c r="BB20" s="39"/>
      <c r="BC20" s="40"/>
      <c r="BD20" s="39"/>
      <c r="BE20" s="41"/>
      <c r="BF20" s="39"/>
      <c r="BG20" s="39"/>
      <c r="BH20" s="34"/>
    </row>
    <row r="21" ht="20.1" customHeight="true">
      <c r="A21" s="13" t="n">
        <v>7.0</v>
      </c>
      <c r="B21" s="14" t="s">
        <v>75</v>
      </c>
      <c r="C21" s="15" t="n">
        <v>1.0</v>
      </c>
      <c r="D21" s="16"/>
      <c r="E21" s="17"/>
      <c r="F21" s="18"/>
      <c r="G21" s="19"/>
      <c r="H21" s="18" t="s">
        <v>73</v>
      </c>
      <c r="I21" s="14" t="n">
        <v>660.0</v>
      </c>
      <c r="J21" s="14" t="n">
        <v>1350.0</v>
      </c>
      <c r="K21" s="22" t="s">
        <v>74</v>
      </c>
      <c r="L21" s="14" t="n">
        <v>2.0</v>
      </c>
      <c r="M21" s="23">
        <f>L21*I21*J21/1000</f>
      </c>
      <c r="N21" s="23">
        <f>(H21/1000000)*J21*I21*1.06*L21</f>
      </c>
      <c r="O21" s="24" t="s">
        <v>76</v>
      </c>
      <c r="P21" s="25" t="n">
        <v>1.0</v>
      </c>
      <c r="Q21" s="18">
        <f>(4600-R21-S21-T21-U21-V21-W21)/2</f>
      </c>
      <c r="R21" s="14" t="n">
        <v>660.0</v>
      </c>
      <c r="S21" s="14" t="n">
        <v>1150.0</v>
      </c>
      <c r="T21" s="14" t="n">
        <v>1480.0</v>
      </c>
      <c r="U21" s="14"/>
      <c r="V21" s="14"/>
      <c r="W21" s="14"/>
      <c r="X21" s="18"/>
      <c r="Y21" s="18"/>
      <c r="Z21" s="18">
        <f>(4600-R21-S21-T21-U21-V21-W21)/2</f>
      </c>
      <c r="AA21" s="18" t="n">
        <v>2.0</v>
      </c>
      <c r="AB21" s="30">
        <f>R21+S21+T21+U21+V21+W21</f>
      </c>
      <c r="AC21" s="31">
        <f>AB21/4600</f>
      </c>
      <c r="AD21" s="30"/>
      <c r="AE21" s="18">
        <f>H21</f>
      </c>
      <c r="AF21" s="18">
        <f>I21</f>
      </c>
      <c r="AG21" s="18">
        <f>J21</f>
      </c>
      <c r="AH21" s="30">
        <f>L21</f>
      </c>
      <c r="AI21" s="30">
        <f>K21</f>
      </c>
      <c r="AJ21" s="18"/>
      <c r="AK21" s="23">
        <f>AE21*AG21*AF21*1/1000000</f>
      </c>
      <c r="AL21" s="33">
        <f>SQRT(H21*J21*1.05*4/3.14+183*183)</f>
      </c>
      <c r="AM21" s="30"/>
      <c r="AN21" s="30"/>
      <c r="AO21" s="30"/>
      <c r="AP21" s="22">
        <f>AH21*2</f>
      </c>
      <c r="AQ21" s="22"/>
      <c r="AR21" s="22"/>
      <c r="AS21" s="34"/>
      <c r="AT21" s="18"/>
      <c r="AU21" s="18"/>
      <c r="AV21" s="18"/>
      <c r="AW21" s="18"/>
      <c r="AX21" s="18"/>
      <c r="AY21" s="18"/>
      <c r="AZ21" s="18">
        <f>ROUNDUP(AH21/2,0)</f>
      </c>
      <c r="BA21" s="18"/>
      <c r="BB21" s="39"/>
      <c r="BC21" s="40"/>
      <c r="BD21" s="39"/>
      <c r="BE21" s="41"/>
      <c r="BF21" s="39"/>
      <c r="BG21" s="39"/>
      <c r="BH21" s="34"/>
    </row>
    <row r="22" ht="20.1" customHeight="true">
      <c r="A22" s="13"/>
      <c r="B22" s="14" t="s">
        <v>75</v>
      </c>
      <c r="C22" s="15" t="n">
        <v>14.0</v>
      </c>
      <c r="D22" s="16"/>
      <c r="E22" s="17"/>
      <c r="F22" s="18"/>
      <c r="G22" s="19"/>
      <c r="H22" s="18" t="s">
        <v>73</v>
      </c>
      <c r="I22" s="14" t="n">
        <v>1150.0</v>
      </c>
      <c r="J22" s="14" t="n">
        <v>1350.0</v>
      </c>
      <c r="K22" s="22" t="s">
        <v>74</v>
      </c>
      <c r="L22" s="14" t="n">
        <v>2.0</v>
      </c>
      <c r="M22" s="23">
        <f>L22*I22*J22/1000</f>
      </c>
      <c r="N22" s="23">
        <f>(H22/1000000)*J22*I22*1.06*L22</f>
      </c>
      <c r="O22" s="24"/>
      <c r="P22" s="25" t="n">
        <v>1.0</v>
      </c>
      <c r="Q22" s="18"/>
      <c r="R22" s="14"/>
      <c r="S22" s="14"/>
      <c r="T22" s="14"/>
      <c r="U22" s="14"/>
      <c r="V22" s="14"/>
      <c r="W22" s="14"/>
      <c r="X22" s="18"/>
      <c r="Y22" s="18"/>
      <c r="Z22" s="18"/>
      <c r="AA22" s="18"/>
      <c r="AB22" s="30"/>
      <c r="AC22" s="31"/>
      <c r="AD22" s="30"/>
      <c r="AE22" s="18">
        <f>H22</f>
      </c>
      <c r="AF22" s="18">
        <f>I22</f>
      </c>
      <c r="AG22" s="18">
        <f>J22</f>
      </c>
      <c r="AH22" s="30">
        <f>L22</f>
      </c>
      <c r="AI22" s="30">
        <f>K22</f>
      </c>
      <c r="AJ22" s="18"/>
      <c r="AK22" s="23">
        <f>AE22*AG22*AF22*1/1000000</f>
      </c>
      <c r="AL22" s="33">
        <f>SQRT(H22*J22*1.05*4/3.14+183*183)</f>
      </c>
      <c r="AM22" s="30"/>
      <c r="AN22" s="30"/>
      <c r="AO22" s="30"/>
      <c r="AP22" s="22">
        <f>AH22*2</f>
      </c>
      <c r="AQ22" s="22"/>
      <c r="AR22" s="22"/>
      <c r="AS22" s="34"/>
      <c r="AT22" s="18"/>
      <c r="AU22" s="18"/>
      <c r="AV22" s="18"/>
      <c r="AW22" s="18"/>
      <c r="AX22" s="18"/>
      <c r="AY22" s="18"/>
      <c r="AZ22" s="18">
        <f>ROUNDUP(AH22/2,0)</f>
      </c>
      <c r="BA22" s="18"/>
      <c r="BB22" s="39"/>
      <c r="BC22" s="40"/>
      <c r="BD22" s="39"/>
      <c r="BE22" s="41"/>
      <c r="BF22" s="39"/>
      <c r="BG22" s="39"/>
      <c r="BH22" s="34"/>
    </row>
    <row r="23" ht="20.1" customHeight="true">
      <c r="A23" s="13"/>
      <c r="B23" s="14" t="s">
        <v>75</v>
      </c>
      <c r="C23" s="15" t="n">
        <v>17.0</v>
      </c>
      <c r="D23" s="16"/>
      <c r="E23" s="17"/>
      <c r="F23" s="18"/>
      <c r="G23" s="19"/>
      <c r="H23" s="18" t="s">
        <v>73</v>
      </c>
      <c r="I23" s="14" t="n">
        <v>1480.0</v>
      </c>
      <c r="J23" s="14" t="n">
        <v>1350.0</v>
      </c>
      <c r="K23" s="22" t="s">
        <v>74</v>
      </c>
      <c r="L23" s="14" t="n">
        <v>2.0</v>
      </c>
      <c r="M23" s="23">
        <f>L23*I23*J23/1000</f>
      </c>
      <c r="N23" s="23">
        <f>(H23/1000000)*J23*I23*1.06*L23</f>
      </c>
      <c r="O23" s="24"/>
      <c r="P23" s="25" t="n">
        <v>1.0</v>
      </c>
      <c r="Q23" s="18"/>
      <c r="R23" s="14"/>
      <c r="S23" s="14"/>
      <c r="T23" s="14"/>
      <c r="U23" s="14"/>
      <c r="V23" s="14"/>
      <c r="W23" s="14"/>
      <c r="X23" s="18"/>
      <c r="Y23" s="18"/>
      <c r="Z23" s="18"/>
      <c r="AA23" s="18"/>
      <c r="AB23" s="30"/>
      <c r="AC23" s="31"/>
      <c r="AD23" s="30"/>
      <c r="AE23" s="18">
        <f>H23</f>
      </c>
      <c r="AF23" s="18">
        <f>I23</f>
      </c>
      <c r="AG23" s="18">
        <f>J23</f>
      </c>
      <c r="AH23" s="30">
        <f>L23</f>
      </c>
      <c r="AI23" s="30">
        <f>K23</f>
      </c>
      <c r="AJ23" s="18"/>
      <c r="AK23" s="23">
        <f>AE23*AG23*AF23*1/1000000</f>
      </c>
      <c r="AL23" s="33">
        <f>SQRT(H23*J23*1.05*4/3.14+183*183)</f>
      </c>
      <c r="AM23" s="30"/>
      <c r="AN23" s="30"/>
      <c r="AO23" s="30"/>
      <c r="AP23" s="22">
        <f>AH23*2</f>
      </c>
      <c r="AQ23" s="22"/>
      <c r="AR23" s="22"/>
      <c r="AS23" s="34"/>
      <c r="AT23" s="18"/>
      <c r="AU23" s="18"/>
      <c r="AV23" s="18"/>
      <c r="AW23" s="18"/>
      <c r="AX23" s="18"/>
      <c r="AY23" s="18"/>
      <c r="AZ23" s="18">
        <f>ROUNDUP(AH23/2,0)</f>
      </c>
      <c r="BA23" s="18"/>
      <c r="BB23" s="39"/>
      <c r="BC23" s="40"/>
      <c r="BD23" s="39"/>
      <c r="BE23" s="41"/>
      <c r="BF23" s="39"/>
      <c r="BG23" s="39"/>
      <c r="BH23" s="34"/>
    </row>
    <row r="24" ht="20.1" customHeight="true">
      <c r="A24" s="13" t="n">
        <v>8.0</v>
      </c>
      <c r="B24" s="14" t="s">
        <v>75</v>
      </c>
      <c r="C24" s="15" t="n">
        <v>1.0</v>
      </c>
      <c r="D24" s="16"/>
      <c r="E24" s="17"/>
      <c r="F24" s="18"/>
      <c r="G24" s="19"/>
      <c r="H24" s="18" t="s">
        <v>73</v>
      </c>
      <c r="I24" s="14" t="n">
        <v>660.0</v>
      </c>
      <c r="J24" s="14" t="n">
        <v>1350.0</v>
      </c>
      <c r="K24" s="22" t="s">
        <v>74</v>
      </c>
      <c r="L24" s="14" t="n">
        <v>1.0</v>
      </c>
      <c r="M24" s="23">
        <f>L24*I24*J24/1000</f>
      </c>
      <c r="N24" s="23">
        <f>(H24/1000000)*J24*I24*1.06*L24</f>
      </c>
      <c r="O24" s="24" t="s">
        <v>76</v>
      </c>
      <c r="P24" s="25" t="n">
        <v>1.0</v>
      </c>
      <c r="Q24" s="18">
        <f>(4600-R24-S24-T24-U24-V24-W24)/2</f>
      </c>
      <c r="R24" s="14" t="n">
        <v>660.0</v>
      </c>
      <c r="S24" s="14" t="n">
        <v>1150.0</v>
      </c>
      <c r="T24" s="14" t="n">
        <v>1480.0</v>
      </c>
      <c r="U24" s="14"/>
      <c r="V24" s="14"/>
      <c r="W24" s="14"/>
      <c r="X24" s="18"/>
      <c r="Y24" s="18"/>
      <c r="Z24" s="18">
        <f>(4600-R24-S24-T24-U24-V24-W24)/2</f>
      </c>
      <c r="AA24" s="18" t="n">
        <v>1.0</v>
      </c>
      <c r="AB24" s="30">
        <f>R24+S24+T24+U24+V24+W24</f>
      </c>
      <c r="AC24" s="31">
        <f>AB24/4600</f>
      </c>
      <c r="AD24" s="30"/>
      <c r="AE24" s="18">
        <f>H24</f>
      </c>
      <c r="AF24" s="18">
        <f>I24</f>
      </c>
      <c r="AG24" s="18">
        <f>J24</f>
      </c>
      <c r="AH24" s="30">
        <f>L24</f>
      </c>
      <c r="AI24" s="30">
        <f>K24</f>
      </c>
      <c r="AJ24" s="18"/>
      <c r="AK24" s="23">
        <f>AE24*AG24*AF24*1/1000000</f>
      </c>
      <c r="AL24" s="33">
        <f>SQRT(H24*J24*1.05*4/3.14+183*183)</f>
      </c>
      <c r="AM24" s="30"/>
      <c r="AN24" s="30"/>
      <c r="AO24" s="30"/>
      <c r="AP24" s="22">
        <f>AH24*2</f>
      </c>
      <c r="AQ24" s="22"/>
      <c r="AR24" s="22"/>
      <c r="AS24" s="34"/>
      <c r="AT24" s="18"/>
      <c r="AU24" s="18"/>
      <c r="AV24" s="18"/>
      <c r="AW24" s="18"/>
      <c r="AX24" s="18"/>
      <c r="AY24" s="18"/>
      <c r="AZ24" s="18">
        <f>ROUNDUP(AH24/2,0)</f>
      </c>
      <c r="BA24" s="18"/>
      <c r="BB24" s="39"/>
      <c r="BC24" s="40"/>
      <c r="BD24" s="39"/>
      <c r="BE24" s="41"/>
      <c r="BF24" s="39"/>
      <c r="BG24" s="39"/>
      <c r="BH24" s="34"/>
    </row>
    <row r="25" ht="20.1" customHeight="true">
      <c r="A25" s="13"/>
      <c r="B25" s="14" t="s">
        <v>75</v>
      </c>
      <c r="C25" s="15" t="n">
        <v>13.0</v>
      </c>
      <c r="D25" s="16"/>
      <c r="E25" s="17"/>
      <c r="F25" s="18"/>
      <c r="G25" s="19"/>
      <c r="H25" s="18" t="s">
        <v>73</v>
      </c>
      <c r="I25" s="14" t="n">
        <v>1150.0</v>
      </c>
      <c r="J25" s="14" t="n">
        <v>1350.0</v>
      </c>
      <c r="K25" s="22" t="s">
        <v>74</v>
      </c>
      <c r="L25" s="14" t="n">
        <v>1.0</v>
      </c>
      <c r="M25" s="23">
        <f>L25*I25*J25/1000</f>
      </c>
      <c r="N25" s="23">
        <f>(H25/1000000)*J25*I25*1.06*L25</f>
      </c>
      <c r="O25" s="24"/>
      <c r="P25" s="25" t="n">
        <v>1.0</v>
      </c>
      <c r="Q25" s="18"/>
      <c r="R25" s="14"/>
      <c r="S25" s="14"/>
      <c r="T25" s="14"/>
      <c r="U25" s="14"/>
      <c r="V25" s="14"/>
      <c r="W25" s="14"/>
      <c r="X25" s="18"/>
      <c r="Y25" s="18"/>
      <c r="Z25" s="18"/>
      <c r="AA25" s="18"/>
      <c r="AB25" s="30"/>
      <c r="AC25" s="31"/>
      <c r="AD25" s="30"/>
      <c r="AE25" s="18">
        <f>H25</f>
      </c>
      <c r="AF25" s="18">
        <f>I25</f>
      </c>
      <c r="AG25" s="18">
        <f>J25</f>
      </c>
      <c r="AH25" s="30">
        <f>L25</f>
      </c>
      <c r="AI25" s="30">
        <f>K25</f>
      </c>
      <c r="AJ25" s="18"/>
      <c r="AK25" s="23">
        <f>AE25*AG25*AF25*1/1000000</f>
      </c>
      <c r="AL25" s="33">
        <f>SQRT(H25*J25*1.05*4/3.14+183*183)</f>
      </c>
      <c r="AM25" s="30"/>
      <c r="AN25" s="30"/>
      <c r="AO25" s="30"/>
      <c r="AP25" s="22">
        <f>AH25*2</f>
      </c>
      <c r="AQ25" s="22"/>
      <c r="AR25" s="22"/>
      <c r="AS25" s="34"/>
      <c r="AT25" s="18"/>
      <c r="AU25" s="18"/>
      <c r="AV25" s="18"/>
      <c r="AW25" s="18"/>
      <c r="AX25" s="18"/>
      <c r="AY25" s="18"/>
      <c r="AZ25" s="18">
        <f>ROUNDUP(AH25/2,0)</f>
      </c>
      <c r="BA25" s="18"/>
      <c r="BB25" s="39"/>
      <c r="BC25" s="40"/>
      <c r="BD25" s="39"/>
      <c r="BE25" s="41"/>
      <c r="BF25" s="39"/>
      <c r="BG25" s="39"/>
      <c r="BH25" s="34"/>
    </row>
    <row r="26" ht="20.1" customHeight="true">
      <c r="A26" s="13"/>
      <c r="B26" s="14" t="s">
        <v>75</v>
      </c>
      <c r="C26" s="15" t="n">
        <v>16.0</v>
      </c>
      <c r="D26" s="16"/>
      <c r="E26" s="17"/>
      <c r="F26" s="18"/>
      <c r="G26" s="19"/>
      <c r="H26" s="18" t="s">
        <v>73</v>
      </c>
      <c r="I26" s="14" t="n">
        <v>1480.0</v>
      </c>
      <c r="J26" s="14" t="n">
        <v>1350.0</v>
      </c>
      <c r="K26" s="22" t="s">
        <v>74</v>
      </c>
      <c r="L26" s="14" t="n">
        <v>1.0</v>
      </c>
      <c r="M26" s="23">
        <f>L26*I26*J26/1000</f>
      </c>
      <c r="N26" s="23">
        <f>(H26/1000000)*J26*I26*1.06*L26</f>
      </c>
      <c r="O26" s="24"/>
      <c r="P26" s="25" t="n">
        <v>1.0</v>
      </c>
      <c r="Q26" s="18"/>
      <c r="R26" s="14"/>
      <c r="S26" s="14"/>
      <c r="T26" s="14"/>
      <c r="U26" s="14"/>
      <c r="V26" s="14"/>
      <c r="W26" s="14"/>
      <c r="X26" s="18"/>
      <c r="Y26" s="18"/>
      <c r="Z26" s="18"/>
      <c r="AA26" s="18"/>
      <c r="AB26" s="30"/>
      <c r="AC26" s="31"/>
      <c r="AD26" s="30"/>
      <c r="AE26" s="18">
        <f>H26</f>
      </c>
      <c r="AF26" s="18">
        <f>I26</f>
      </c>
      <c r="AG26" s="18">
        <f>J26</f>
      </c>
      <c r="AH26" s="30">
        <f>L26</f>
      </c>
      <c r="AI26" s="30">
        <f>K26</f>
      </c>
      <c r="AJ26" s="18"/>
      <c r="AK26" s="23">
        <f>AE26*AG26*AF26*1/1000000</f>
      </c>
      <c r="AL26" s="33">
        <f>SQRT(H26*J26*1.05*4/3.14+183*183)</f>
      </c>
      <c r="AM26" s="30"/>
      <c r="AN26" s="30"/>
      <c r="AO26" s="30"/>
      <c r="AP26" s="22">
        <f>AH26*2</f>
      </c>
      <c r="AQ26" s="22"/>
      <c r="AR26" s="22"/>
      <c r="AS26" s="34"/>
      <c r="AT26" s="18"/>
      <c r="AU26" s="18"/>
      <c r="AV26" s="18"/>
      <c r="AW26" s="18"/>
      <c r="AX26" s="18"/>
      <c r="AY26" s="18"/>
      <c r="AZ26" s="18">
        <f>ROUNDUP(AH26/2,0)</f>
      </c>
      <c r="BA26" s="18"/>
      <c r="BB26" s="39"/>
      <c r="BC26" s="40"/>
      <c r="BD26" s="39"/>
      <c r="BE26" s="41"/>
      <c r="BF26" s="39"/>
      <c r="BG26" s="39"/>
      <c r="BH26" s="34"/>
    </row>
    <row r="27" ht="20.1" customHeight="true">
      <c r="A27" s="13" t="n">
        <v>9.0</v>
      </c>
      <c r="B27" s="14" t="s">
        <v>77</v>
      </c>
      <c r="C27" s="15" t="n">
        <v>5.0</v>
      </c>
      <c r="D27" s="16"/>
      <c r="E27" s="17"/>
      <c r="F27" s="18"/>
      <c r="G27" s="19"/>
      <c r="H27" s="18" t="s">
        <v>73</v>
      </c>
      <c r="I27" s="14" t="n">
        <v>860.0</v>
      </c>
      <c r="J27" s="14" t="n">
        <v>1350.0</v>
      </c>
      <c r="K27" s="22" t="s">
        <v>74</v>
      </c>
      <c r="L27" s="14" t="n">
        <v>6.0</v>
      </c>
      <c r="M27" s="23">
        <f>L27*I27*J27/1000</f>
      </c>
      <c r="N27" s="23">
        <f>(H27/1000000)*J27*I27*1.06*L27</f>
      </c>
      <c r="O27" s="24" t="s">
        <v>76</v>
      </c>
      <c r="P27" s="25" t="n">
        <v>1.0</v>
      </c>
      <c r="Q27" s="18">
        <f>(4600-R27-S27-T27-U27-V27-W27)/2</f>
      </c>
      <c r="R27" s="14" t="n">
        <v>860.0</v>
      </c>
      <c r="S27" s="14" t="n">
        <v>990.0</v>
      </c>
      <c r="T27" s="14" t="n">
        <v>1480.0</v>
      </c>
      <c r="U27" s="14"/>
      <c r="V27" s="14"/>
      <c r="W27" s="14"/>
      <c r="X27" s="18"/>
      <c r="Y27" s="18"/>
      <c r="Z27" s="18">
        <f>(4600-R27-S27-T27-U27-V27-W27)/2</f>
      </c>
      <c r="AA27" s="18" t="n">
        <v>6.0</v>
      </c>
      <c r="AB27" s="30">
        <f>R27+S27+T27+U27+V27+W27</f>
      </c>
      <c r="AC27" s="31">
        <f>AB27/4600</f>
      </c>
      <c r="AD27" s="30"/>
      <c r="AE27" s="18">
        <f>H27</f>
      </c>
      <c r="AF27" s="18">
        <f>I27</f>
      </c>
      <c r="AG27" s="18">
        <f>J27</f>
      </c>
      <c r="AH27" s="30">
        <f>L27</f>
      </c>
      <c r="AI27" s="30">
        <f>K27</f>
      </c>
      <c r="AJ27" s="18"/>
      <c r="AK27" s="23">
        <f>AE27*AG27*AF27*1/1000000</f>
      </c>
      <c r="AL27" s="33">
        <f>SQRT(H27*J27*1.05*4/3.14+183*183)</f>
      </c>
      <c r="AM27" s="30"/>
      <c r="AN27" s="30"/>
      <c r="AO27" s="30"/>
      <c r="AP27" s="22">
        <f>AH27*2</f>
      </c>
      <c r="AQ27" s="22"/>
      <c r="AR27" s="22"/>
      <c r="AS27" s="34"/>
      <c r="AT27" s="18"/>
      <c r="AU27" s="18"/>
      <c r="AV27" s="18"/>
      <c r="AW27" s="18"/>
      <c r="AX27" s="18"/>
      <c r="AY27" s="18"/>
      <c r="AZ27" s="18">
        <f>ROUNDUP(AH27/2,0)</f>
      </c>
      <c r="BA27" s="18"/>
      <c r="BB27" s="39"/>
      <c r="BC27" s="40"/>
      <c r="BD27" s="39"/>
      <c r="BE27" s="41"/>
      <c r="BF27" s="39"/>
      <c r="BG27" s="39"/>
      <c r="BH27" s="34"/>
    </row>
    <row r="28" ht="20.1" customHeight="true">
      <c r="A28" s="13"/>
      <c r="B28" s="14" t="s">
        <v>77</v>
      </c>
      <c r="C28" s="15" t="n">
        <v>9.0</v>
      </c>
      <c r="D28" s="16"/>
      <c r="E28" s="17"/>
      <c r="F28" s="18"/>
      <c r="G28" s="19"/>
      <c r="H28" s="18" t="s">
        <v>73</v>
      </c>
      <c r="I28" s="14" t="n">
        <v>990.0</v>
      </c>
      <c r="J28" s="14" t="n">
        <v>1350.0</v>
      </c>
      <c r="K28" s="22" t="s">
        <v>74</v>
      </c>
      <c r="L28" s="14" t="n">
        <v>6.0</v>
      </c>
      <c r="M28" s="23">
        <f>L28*I28*J28/1000</f>
      </c>
      <c r="N28" s="23">
        <f>(H28/1000000)*J28*I28*1.06*L28</f>
      </c>
      <c r="O28" s="24"/>
      <c r="P28" s="25" t="n">
        <v>1.0</v>
      </c>
      <c r="Q28" s="18"/>
      <c r="R28" s="14"/>
      <c r="S28" s="14"/>
      <c r="T28" s="14"/>
      <c r="U28" s="14"/>
      <c r="V28" s="14"/>
      <c r="W28" s="14"/>
      <c r="X28" s="18"/>
      <c r="Y28" s="18"/>
      <c r="Z28" s="18"/>
      <c r="AA28" s="18"/>
      <c r="AB28" s="30"/>
      <c r="AC28" s="31"/>
      <c r="AD28" s="30"/>
      <c r="AE28" s="18">
        <f>H28</f>
      </c>
      <c r="AF28" s="18">
        <f>I28</f>
      </c>
      <c r="AG28" s="18">
        <f>J28</f>
      </c>
      <c r="AH28" s="30">
        <f>L28</f>
      </c>
      <c r="AI28" s="30">
        <f>K28</f>
      </c>
      <c r="AJ28" s="18"/>
      <c r="AK28" s="23">
        <f>AE28*AG28*AF28*1/1000000</f>
      </c>
      <c r="AL28" s="33">
        <f>SQRT(H28*J28*1.05*4/3.14+183*183)</f>
      </c>
      <c r="AM28" s="30"/>
      <c r="AN28" s="30"/>
      <c r="AO28" s="30"/>
      <c r="AP28" s="22">
        <f>AH28*2</f>
      </c>
      <c r="AQ28" s="22"/>
      <c r="AR28" s="22"/>
      <c r="AS28" s="34"/>
      <c r="AT28" s="18"/>
      <c r="AU28" s="18"/>
      <c r="AV28" s="18"/>
      <c r="AW28" s="18"/>
      <c r="AX28" s="18"/>
      <c r="AY28" s="18"/>
      <c r="AZ28" s="18">
        <f>ROUNDUP(AH28/2,0)</f>
      </c>
      <c r="BA28" s="18"/>
      <c r="BB28" s="39"/>
      <c r="BC28" s="40"/>
      <c r="BD28" s="39"/>
      <c r="BE28" s="41"/>
      <c r="BF28" s="39"/>
      <c r="BG28" s="39"/>
      <c r="BH28" s="34"/>
    </row>
    <row r="29" ht="20.1" customHeight="true">
      <c r="A29" s="13"/>
      <c r="B29" s="14" t="s">
        <v>77</v>
      </c>
      <c r="C29" s="15" t="n">
        <v>15.0</v>
      </c>
      <c r="D29" s="16"/>
      <c r="E29" s="17"/>
      <c r="F29" s="18"/>
      <c r="G29" s="19"/>
      <c r="H29" s="18" t="s">
        <v>73</v>
      </c>
      <c r="I29" s="14" t="n">
        <v>1480.0</v>
      </c>
      <c r="J29" s="14" t="n">
        <v>1350.0</v>
      </c>
      <c r="K29" s="22" t="s">
        <v>74</v>
      </c>
      <c r="L29" s="14" t="n">
        <v>6.0</v>
      </c>
      <c r="M29" s="23">
        <f>L29*I29*J29/1000</f>
      </c>
      <c r="N29" s="23">
        <f>(H29/1000000)*J29*I29*1.06*L29</f>
      </c>
      <c r="O29" s="24"/>
      <c r="P29" s="25" t="n">
        <v>1.0</v>
      </c>
      <c r="Q29" s="18"/>
      <c r="R29" s="14"/>
      <c r="S29" s="14"/>
      <c r="T29" s="14"/>
      <c r="U29" s="14"/>
      <c r="V29" s="14"/>
      <c r="W29" s="14"/>
      <c r="X29" s="18"/>
      <c r="Y29" s="18"/>
      <c r="Z29" s="18"/>
      <c r="AA29" s="18"/>
      <c r="AB29" s="30"/>
      <c r="AC29" s="31"/>
      <c r="AD29" s="30"/>
      <c r="AE29" s="18">
        <f>H29</f>
      </c>
      <c r="AF29" s="18">
        <f>I29</f>
      </c>
      <c r="AG29" s="18">
        <f>J29</f>
      </c>
      <c r="AH29" s="30">
        <f>L29</f>
      </c>
      <c r="AI29" s="30">
        <f>K29</f>
      </c>
      <c r="AJ29" s="18"/>
      <c r="AK29" s="23">
        <f>AE29*AG29*AF29*1/1000000</f>
      </c>
      <c r="AL29" s="33">
        <f>SQRT(H29*J29*1.05*4/3.14+183*183)</f>
      </c>
      <c r="AM29" s="30"/>
      <c r="AN29" s="30"/>
      <c r="AO29" s="30"/>
      <c r="AP29" s="22">
        <f>AH29*2</f>
      </c>
      <c r="AQ29" s="22"/>
      <c r="AR29" s="22"/>
      <c r="AS29" s="34"/>
      <c r="AT29" s="18"/>
      <c r="AU29" s="18"/>
      <c r="AV29" s="18"/>
      <c r="AW29" s="18"/>
      <c r="AX29" s="18"/>
      <c r="AY29" s="18"/>
      <c r="AZ29" s="18">
        <f>ROUNDUP(AH29/2,0)</f>
      </c>
      <c r="BA29" s="18"/>
      <c r="BB29" s="39"/>
      <c r="BC29" s="40"/>
      <c r="BD29" s="39"/>
      <c r="BE29" s="41"/>
      <c r="BF29" s="39"/>
      <c r="BG29" s="39"/>
      <c r="BH29" s="34"/>
    </row>
    <row r="30" ht="20.1" customHeight="true">
      <c r="A30" s="13" t="n">
        <v>10.0</v>
      </c>
      <c r="B30" s="14" t="s">
        <v>77</v>
      </c>
      <c r="C30" s="15" t="n">
        <v>5.0</v>
      </c>
      <c r="D30" s="16"/>
      <c r="E30" s="17"/>
      <c r="F30" s="18"/>
      <c r="G30" s="19"/>
      <c r="H30" s="18" t="s">
        <v>73</v>
      </c>
      <c r="I30" s="14" t="n">
        <v>860.0</v>
      </c>
      <c r="J30" s="14" t="n">
        <v>1350.0</v>
      </c>
      <c r="K30" s="22" t="s">
        <v>74</v>
      </c>
      <c r="L30" s="14" t="n">
        <v>1.0</v>
      </c>
      <c r="M30" s="23">
        <f>L30*I30*J30/1000</f>
      </c>
      <c r="N30" s="23">
        <f>(H30/1000000)*J30*I30*1.06*L30</f>
      </c>
      <c r="O30" s="24" t="s">
        <v>76</v>
      </c>
      <c r="P30" s="25" t="n">
        <v>1.0</v>
      </c>
      <c r="Q30" s="18">
        <f>(4600-R30-S30-T30-U30-V30-W30)/2</f>
      </c>
      <c r="R30" s="14" t="n">
        <v>860.0</v>
      </c>
      <c r="S30" s="14" t="n">
        <v>990.0</v>
      </c>
      <c r="T30" s="14" t="n">
        <v>1480.0</v>
      </c>
      <c r="U30" s="14"/>
      <c r="V30" s="14"/>
      <c r="W30" s="14"/>
      <c r="X30" s="18"/>
      <c r="Y30" s="18"/>
      <c r="Z30" s="18">
        <f>(4600-R30-S30-T30-U30-V30-W30)/2</f>
      </c>
      <c r="AA30" s="18" t="n">
        <v>1.0</v>
      </c>
      <c r="AB30" s="30">
        <f>R30+S30+T30+U30+V30+W30</f>
      </c>
      <c r="AC30" s="31">
        <f>AB30/4600</f>
      </c>
      <c r="AD30" s="30"/>
      <c r="AE30" s="18">
        <f>H30</f>
      </c>
      <c r="AF30" s="18">
        <f>I30</f>
      </c>
      <c r="AG30" s="18">
        <f>J30</f>
      </c>
      <c r="AH30" s="30">
        <f>L30</f>
      </c>
      <c r="AI30" s="30">
        <f>K30</f>
      </c>
      <c r="AJ30" s="18"/>
      <c r="AK30" s="23">
        <f>AE30*AG30*AF30*1/1000000</f>
      </c>
      <c r="AL30" s="33">
        <f>SQRT(H30*J30*1.05*4/3.14+183*183)</f>
      </c>
      <c r="AM30" s="30"/>
      <c r="AN30" s="30"/>
      <c r="AO30" s="30"/>
      <c r="AP30" s="22">
        <f>AH30*2</f>
      </c>
      <c r="AQ30" s="22"/>
      <c r="AR30" s="22"/>
      <c r="AS30" s="34"/>
      <c r="AT30" s="18"/>
      <c r="AU30" s="18"/>
      <c r="AV30" s="18"/>
      <c r="AW30" s="18"/>
      <c r="AX30" s="18"/>
      <c r="AY30" s="18"/>
      <c r="AZ30" s="18">
        <f>ROUNDUP(AH30/2,0)</f>
      </c>
      <c r="BA30" s="18"/>
      <c r="BB30" s="39"/>
      <c r="BC30" s="40"/>
      <c r="BD30" s="39"/>
      <c r="BE30" s="41"/>
      <c r="BF30" s="39"/>
      <c r="BG30" s="39"/>
      <c r="BH30" s="34"/>
    </row>
    <row r="31" ht="20.1" customHeight="true">
      <c r="A31" s="13"/>
      <c r="B31" s="14" t="s">
        <v>77</v>
      </c>
      <c r="C31" s="15" t="n">
        <v>9.0</v>
      </c>
      <c r="D31" s="16"/>
      <c r="E31" s="17"/>
      <c r="F31" s="18"/>
      <c r="G31" s="19"/>
      <c r="H31" s="18" t="s">
        <v>73</v>
      </c>
      <c r="I31" s="14" t="n">
        <v>990.0</v>
      </c>
      <c r="J31" s="14" t="n">
        <v>1350.0</v>
      </c>
      <c r="K31" s="22" t="s">
        <v>74</v>
      </c>
      <c r="L31" s="14" t="n">
        <v>1.0</v>
      </c>
      <c r="M31" s="23">
        <f>L31*I31*J31/1000</f>
      </c>
      <c r="N31" s="23">
        <f>(H31/1000000)*J31*I31*1.06*L31</f>
      </c>
      <c r="O31" s="24"/>
      <c r="P31" s="25" t="n">
        <v>1.0</v>
      </c>
      <c r="Q31" s="18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30"/>
      <c r="AC31" s="31"/>
      <c r="AD31" s="30"/>
      <c r="AE31" s="18">
        <f>H31</f>
      </c>
      <c r="AF31" s="18">
        <f>I31</f>
      </c>
      <c r="AG31" s="18">
        <f>J31</f>
      </c>
      <c r="AH31" s="30">
        <f>L31</f>
      </c>
      <c r="AI31" s="30">
        <f>K31</f>
      </c>
      <c r="AJ31" s="18"/>
      <c r="AK31" s="23">
        <f>AE31*AG31*AF31*1/1000000</f>
      </c>
      <c r="AL31" s="33">
        <f>SQRT(H31*J31*1.05*4/3.14+183*183)</f>
      </c>
      <c r="AM31" s="30"/>
      <c r="AN31" s="30"/>
      <c r="AO31" s="30"/>
      <c r="AP31" s="22">
        <f>AH31*2</f>
      </c>
      <c r="AQ31" s="22"/>
      <c r="AR31" s="22"/>
      <c r="AS31" s="34"/>
      <c r="AT31" s="18"/>
      <c r="AU31" s="18"/>
      <c r="AV31" s="18"/>
      <c r="AW31" s="18"/>
      <c r="AX31" s="18"/>
      <c r="AY31" s="18"/>
      <c r="AZ31" s="18">
        <f>ROUNDUP(AH31/2,0)</f>
      </c>
      <c r="BA31" s="18"/>
      <c r="BB31" s="39"/>
      <c r="BC31" s="40"/>
      <c r="BD31" s="39"/>
      <c r="BE31" s="41"/>
      <c r="BF31" s="39"/>
      <c r="BG31" s="39"/>
      <c r="BH31" s="34"/>
    </row>
    <row r="32" ht="20.1" customHeight="true">
      <c r="A32" s="13"/>
      <c r="B32" s="14" t="s">
        <v>75</v>
      </c>
      <c r="C32" s="15" t="n">
        <v>17.0</v>
      </c>
      <c r="D32" s="16"/>
      <c r="E32" s="17"/>
      <c r="F32" s="18"/>
      <c r="G32" s="19"/>
      <c r="H32" s="18" t="s">
        <v>73</v>
      </c>
      <c r="I32" s="14" t="n">
        <v>1480.0</v>
      </c>
      <c r="J32" s="14" t="n">
        <v>1350.0</v>
      </c>
      <c r="K32" s="22" t="s">
        <v>74</v>
      </c>
      <c r="L32" s="14" t="n">
        <v>1.0</v>
      </c>
      <c r="M32" s="23">
        <f>L32*I32*J32/1000</f>
      </c>
      <c r="N32" s="23">
        <f>(H32/1000000)*J32*I32*1.06*L32</f>
      </c>
      <c r="O32" s="24"/>
      <c r="P32" s="25" t="n">
        <v>1.0</v>
      </c>
      <c r="Q32" s="18"/>
      <c r="R32" s="14"/>
      <c r="S32" s="14"/>
      <c r="T32" s="14"/>
      <c r="U32" s="14"/>
      <c r="V32" s="14"/>
      <c r="W32" s="14"/>
      <c r="X32" s="18"/>
      <c r="Y32" s="18"/>
      <c r="Z32" s="18"/>
      <c r="AA32" s="18"/>
      <c r="AB32" s="30"/>
      <c r="AC32" s="31"/>
      <c r="AD32" s="30"/>
      <c r="AE32" s="18">
        <f>H32</f>
      </c>
      <c r="AF32" s="18">
        <f>I32</f>
      </c>
      <c r="AG32" s="18">
        <f>J32</f>
      </c>
      <c r="AH32" s="30">
        <f>L32</f>
      </c>
      <c r="AI32" s="30">
        <f>K32</f>
      </c>
      <c r="AJ32" s="18"/>
      <c r="AK32" s="23">
        <f>AE32*AG32*AF32*1/1000000</f>
      </c>
      <c r="AL32" s="33">
        <f>SQRT(H32*J32*1.05*4/3.14+183*183)</f>
      </c>
      <c r="AM32" s="30"/>
      <c r="AN32" s="30"/>
      <c r="AO32" s="30"/>
      <c r="AP32" s="22">
        <f>AH32*2</f>
      </c>
      <c r="AQ32" s="22"/>
      <c r="AR32" s="22"/>
      <c r="AS32" s="34"/>
      <c r="AT32" s="18"/>
      <c r="AU32" s="18"/>
      <c r="AV32" s="18"/>
      <c r="AW32" s="18"/>
      <c r="AX32" s="18"/>
      <c r="AY32" s="18"/>
      <c r="AZ32" s="18">
        <f>ROUNDUP(AH32/2,0)</f>
      </c>
      <c r="BA32" s="18"/>
      <c r="BB32" s="39"/>
      <c r="BC32" s="40"/>
      <c r="BD32" s="39"/>
      <c r="BE32" s="41"/>
      <c r="BF32" s="39"/>
      <c r="BG32" s="39"/>
      <c r="BH32" s="34"/>
    </row>
    <row r="33" ht="20.1" customHeight="true">
      <c r="A33" s="13" t="n">
        <v>11.0</v>
      </c>
      <c r="B33" s="14" t="s">
        <v>75</v>
      </c>
      <c r="C33" s="15" t="n">
        <v>7.0</v>
      </c>
      <c r="D33" s="16"/>
      <c r="E33" s="17"/>
      <c r="F33" s="18"/>
      <c r="G33" s="19"/>
      <c r="H33" s="18" t="s">
        <v>73</v>
      </c>
      <c r="I33" s="14" t="n">
        <v>860.0</v>
      </c>
      <c r="J33" s="14" t="n">
        <v>1350.0</v>
      </c>
      <c r="K33" s="22" t="s">
        <v>74</v>
      </c>
      <c r="L33" s="14" t="n">
        <v>4.0</v>
      </c>
      <c r="M33" s="23">
        <f>L33*I33*J33/1000</f>
      </c>
      <c r="N33" s="23">
        <f>(H33/1000000)*J33*I33*1.06*L33</f>
      </c>
      <c r="O33" s="24" t="s">
        <v>76</v>
      </c>
      <c r="P33" s="25" t="n">
        <v>1.0</v>
      </c>
      <c r="Q33" s="18">
        <f>(4600-R33-S33-T33-U33-V33-W33)/2</f>
      </c>
      <c r="R33" s="14" t="n">
        <v>860.0</v>
      </c>
      <c r="S33" s="14" t="n">
        <v>970.0</v>
      </c>
      <c r="T33" s="14" t="n">
        <v>1480.0</v>
      </c>
      <c r="U33" s="14"/>
      <c r="V33" s="14"/>
      <c r="W33" s="14"/>
      <c r="X33" s="18"/>
      <c r="Y33" s="18"/>
      <c r="Z33" s="18">
        <f>(4600-R33-S33-T33-U33-V33-W33)/2</f>
      </c>
      <c r="AA33" s="18" t="n">
        <v>4.0</v>
      </c>
      <c r="AB33" s="30">
        <f>R33+S33+T33+U33+V33+W33</f>
      </c>
      <c r="AC33" s="31">
        <f>AB33/4600</f>
      </c>
      <c r="AD33" s="30"/>
      <c r="AE33" s="18">
        <f>H33</f>
      </c>
      <c r="AF33" s="18">
        <f>I33</f>
      </c>
      <c r="AG33" s="18">
        <f>J33</f>
      </c>
      <c r="AH33" s="30">
        <f>L33</f>
      </c>
      <c r="AI33" s="30">
        <f>K33</f>
      </c>
      <c r="AJ33" s="18"/>
      <c r="AK33" s="23">
        <f>AE33*AG33*AF33*1/1000000</f>
      </c>
      <c r="AL33" s="33">
        <f>SQRT(H33*J33*1.05*4/3.14+183*183)</f>
      </c>
      <c r="AM33" s="30"/>
      <c r="AN33" s="30"/>
      <c r="AO33" s="30"/>
      <c r="AP33" s="22">
        <f>AH33*2</f>
      </c>
      <c r="AQ33" s="22"/>
      <c r="AR33" s="22"/>
      <c r="AS33" s="34"/>
      <c r="AT33" s="18"/>
      <c r="AU33" s="18"/>
      <c r="AV33" s="18"/>
      <c r="AW33" s="18"/>
      <c r="AX33" s="18"/>
      <c r="AY33" s="18"/>
      <c r="AZ33" s="18">
        <f>ROUNDUP(AH33/2,0)</f>
      </c>
      <c r="BA33" s="18"/>
      <c r="BB33" s="39"/>
      <c r="BC33" s="40"/>
      <c r="BD33" s="39"/>
      <c r="BE33" s="41"/>
      <c r="BF33" s="39"/>
      <c r="BG33" s="39"/>
      <c r="BH33" s="34"/>
    </row>
    <row r="34" ht="20.1" customHeight="true">
      <c r="A34" s="13"/>
      <c r="B34" s="14" t="s">
        <v>78</v>
      </c>
      <c r="C34" s="15" t="n">
        <v>8.0</v>
      </c>
      <c r="D34" s="16"/>
      <c r="E34" s="17"/>
      <c r="F34" s="18"/>
      <c r="G34" s="19"/>
      <c r="H34" s="18" t="s">
        <v>73</v>
      </c>
      <c r="I34" s="14" t="n">
        <v>970.0</v>
      </c>
      <c r="J34" s="14" t="n">
        <v>1350.0</v>
      </c>
      <c r="K34" s="22" t="s">
        <v>74</v>
      </c>
      <c r="L34" s="14" t="n">
        <v>4.0</v>
      </c>
      <c r="M34" s="23">
        <f>L34*I34*J34/1000</f>
      </c>
      <c r="N34" s="23">
        <f>(H34/1000000)*J34*I34*1.06*L34</f>
      </c>
      <c r="O34" s="24"/>
      <c r="P34" s="25" t="n">
        <v>1.0</v>
      </c>
      <c r="Q34" s="18"/>
      <c r="R34" s="14"/>
      <c r="S34" s="14"/>
      <c r="T34" s="14"/>
      <c r="U34" s="14"/>
      <c r="V34" s="14"/>
      <c r="W34" s="14"/>
      <c r="X34" s="18"/>
      <c r="Y34" s="18"/>
      <c r="Z34" s="18"/>
      <c r="AA34" s="18"/>
      <c r="AB34" s="30"/>
      <c r="AC34" s="31"/>
      <c r="AD34" s="30"/>
      <c r="AE34" s="18">
        <f>H34</f>
      </c>
      <c r="AF34" s="18">
        <f>I34</f>
      </c>
      <c r="AG34" s="18">
        <f>J34</f>
      </c>
      <c r="AH34" s="30">
        <f>L34</f>
      </c>
      <c r="AI34" s="30">
        <f>K34</f>
      </c>
      <c r="AJ34" s="18"/>
      <c r="AK34" s="23">
        <f>AE34*AG34*AF34*1/1000000</f>
      </c>
      <c r="AL34" s="33">
        <f>SQRT(H34*J34*1.05*4/3.14+183*183)</f>
      </c>
      <c r="AM34" s="30"/>
      <c r="AN34" s="30"/>
      <c r="AO34" s="30"/>
      <c r="AP34" s="22">
        <f>AH34*2</f>
      </c>
      <c r="AQ34" s="22"/>
      <c r="AR34" s="22"/>
      <c r="AS34" s="34"/>
      <c r="AT34" s="18"/>
      <c r="AU34" s="18"/>
      <c r="AV34" s="18"/>
      <c r="AW34" s="18"/>
      <c r="AX34" s="18"/>
      <c r="AY34" s="18"/>
      <c r="AZ34" s="18">
        <f>ROUNDUP(AH34/2,0)</f>
      </c>
      <c r="BA34" s="18"/>
      <c r="BB34" s="39"/>
      <c r="BC34" s="40"/>
      <c r="BD34" s="39"/>
      <c r="BE34" s="41"/>
      <c r="BF34" s="39"/>
      <c r="BG34" s="39"/>
      <c r="BH34" s="34"/>
    </row>
    <row r="35" ht="20.1" customHeight="true">
      <c r="A35" s="13"/>
      <c r="B35" s="14" t="s">
        <v>75</v>
      </c>
      <c r="C35" s="15" t="n">
        <v>16.0</v>
      </c>
      <c r="D35" s="16"/>
      <c r="E35" s="17"/>
      <c r="F35" s="18"/>
      <c r="G35" s="19"/>
      <c r="H35" s="18" t="s">
        <v>73</v>
      </c>
      <c r="I35" s="14" t="n">
        <v>1480.0</v>
      </c>
      <c r="J35" s="14" t="n">
        <v>1350.0</v>
      </c>
      <c r="K35" s="22" t="s">
        <v>74</v>
      </c>
      <c r="L35" s="14" t="n">
        <v>4.0</v>
      </c>
      <c r="M35" s="23">
        <f>L35*I35*J35/1000</f>
      </c>
      <c r="N35" s="23">
        <f>(H35/1000000)*J35*I35*1.06*L35</f>
      </c>
      <c r="O35" s="24"/>
      <c r="P35" s="25" t="n">
        <v>1.0</v>
      </c>
      <c r="Q35" s="18"/>
      <c r="R35" s="14"/>
      <c r="S35" s="14"/>
      <c r="T35" s="14"/>
      <c r="U35" s="14"/>
      <c r="V35" s="14"/>
      <c r="W35" s="14"/>
      <c r="X35" s="18"/>
      <c r="Y35" s="18"/>
      <c r="Z35" s="18"/>
      <c r="AA35" s="18"/>
      <c r="AB35" s="30"/>
      <c r="AC35" s="31"/>
      <c r="AD35" s="30"/>
      <c r="AE35" s="18">
        <f>H35</f>
      </c>
      <c r="AF35" s="18">
        <f>I35</f>
      </c>
      <c r="AG35" s="18">
        <f>J35</f>
      </c>
      <c r="AH35" s="30">
        <f>L35</f>
      </c>
      <c r="AI35" s="30">
        <f>K35</f>
      </c>
      <c r="AJ35" s="18"/>
      <c r="AK35" s="23">
        <f>AE35*AG35*AF35*1/1000000</f>
      </c>
      <c r="AL35" s="33">
        <f>SQRT(H35*J35*1.05*4/3.14+183*183)</f>
      </c>
      <c r="AM35" s="30"/>
      <c r="AN35" s="30"/>
      <c r="AO35" s="30"/>
      <c r="AP35" s="22">
        <f>AH35*2</f>
      </c>
      <c r="AQ35" s="22"/>
      <c r="AR35" s="22"/>
      <c r="AS35" s="34"/>
      <c r="AT35" s="18"/>
      <c r="AU35" s="18"/>
      <c r="AV35" s="18"/>
      <c r="AW35" s="18"/>
      <c r="AX35" s="18"/>
      <c r="AY35" s="18"/>
      <c r="AZ35" s="18">
        <f>ROUNDUP(AH35/2,0)</f>
      </c>
      <c r="BA35" s="18"/>
      <c r="BB35" s="39"/>
      <c r="BC35" s="40"/>
      <c r="BD35" s="39"/>
      <c r="BE35" s="41"/>
      <c r="BF35" s="39"/>
      <c r="BG35" s="39"/>
      <c r="BH35" s="34"/>
    </row>
    <row r="36" ht="20.1" customHeight="true">
      <c r="A36" s="13" t="n">
        <v>12.0</v>
      </c>
      <c r="B36" s="14" t="s">
        <v>75</v>
      </c>
      <c r="C36" s="15" t="n">
        <v>6.0</v>
      </c>
      <c r="D36" s="16"/>
      <c r="E36" s="17"/>
      <c r="F36" s="18"/>
      <c r="G36" s="19"/>
      <c r="H36" s="18" t="s">
        <v>73</v>
      </c>
      <c r="I36" s="14" t="n">
        <v>860.0</v>
      </c>
      <c r="J36" s="14" t="n">
        <v>1350.0</v>
      </c>
      <c r="K36" s="22" t="s">
        <v>74</v>
      </c>
      <c r="L36" s="14" t="n">
        <v>3.0</v>
      </c>
      <c r="M36" s="23">
        <f>L36*I36*J36/1000</f>
      </c>
      <c r="N36" s="23">
        <f>(H36/1000000)*J36*I36*1.06*L36</f>
      </c>
      <c r="O36" s="24" t="s">
        <v>76</v>
      </c>
      <c r="P36" s="25" t="n">
        <v>1.0</v>
      </c>
      <c r="Q36" s="18">
        <f>(4600-R36-S36-T36-U36-V36-W36)/2</f>
      </c>
      <c r="R36" s="14" t="n">
        <v>860.0</v>
      </c>
      <c r="S36" s="14" t="n">
        <v>970.0</v>
      </c>
      <c r="T36" s="14" t="n">
        <v>1480.0</v>
      </c>
      <c r="U36" s="14"/>
      <c r="V36" s="14"/>
      <c r="W36" s="14"/>
      <c r="X36" s="18"/>
      <c r="Y36" s="18"/>
      <c r="Z36" s="18">
        <f>(4600-R36-S36-T36-U36-V36-W36)/2</f>
      </c>
      <c r="AA36" s="18" t="n">
        <v>3.0</v>
      </c>
      <c r="AB36" s="30">
        <f>R36+S36+T36+U36+V36+W36</f>
      </c>
      <c r="AC36" s="31">
        <f>AB36/4600</f>
      </c>
      <c r="AD36" s="30"/>
      <c r="AE36" s="18">
        <f>H36</f>
      </c>
      <c r="AF36" s="18">
        <f>I36</f>
      </c>
      <c r="AG36" s="18">
        <f>J36</f>
      </c>
      <c r="AH36" s="30">
        <f>L36</f>
      </c>
      <c r="AI36" s="30">
        <f>K36</f>
      </c>
      <c r="AJ36" s="18"/>
      <c r="AK36" s="23">
        <f>AE36*AG36*AF36*1/1000000</f>
      </c>
      <c r="AL36" s="33">
        <f>SQRT(H36*J36*1.05*4/3.14+183*183)</f>
      </c>
      <c r="AM36" s="30"/>
      <c r="AN36" s="30"/>
      <c r="AO36" s="30"/>
      <c r="AP36" s="22">
        <f>AH36*2</f>
      </c>
      <c r="AQ36" s="22"/>
      <c r="AR36" s="22"/>
      <c r="AS36" s="34"/>
      <c r="AT36" s="18"/>
      <c r="AU36" s="18"/>
      <c r="AV36" s="18"/>
      <c r="AW36" s="18"/>
      <c r="AX36" s="18"/>
      <c r="AY36" s="18"/>
      <c r="AZ36" s="18">
        <f>ROUNDUP(AH36/2,0)</f>
      </c>
      <c r="BA36" s="18"/>
      <c r="BB36" s="39"/>
      <c r="BC36" s="40"/>
      <c r="BD36" s="39"/>
      <c r="BE36" s="41"/>
      <c r="BF36" s="39"/>
      <c r="BG36" s="39"/>
      <c r="BH36" s="34"/>
    </row>
    <row r="37" ht="20.1" customHeight="true">
      <c r="A37" s="13"/>
      <c r="B37" s="14" t="s">
        <v>79</v>
      </c>
      <c r="C37" s="15" t="n">
        <v>18.0</v>
      </c>
      <c r="D37" s="16"/>
      <c r="E37" s="17"/>
      <c r="F37" s="18"/>
      <c r="G37" s="19"/>
      <c r="H37" s="18" t="s">
        <v>73</v>
      </c>
      <c r="I37" s="14" t="n">
        <v>970.0</v>
      </c>
      <c r="J37" s="14" t="n">
        <v>1350.0</v>
      </c>
      <c r="K37" s="22" t="s">
        <v>74</v>
      </c>
      <c r="L37" s="14" t="n">
        <v>3.0</v>
      </c>
      <c r="M37" s="23">
        <f>L37*I37*J37/1000</f>
      </c>
      <c r="N37" s="23">
        <f>(H37/1000000)*J37*I37*1.06*L37</f>
      </c>
      <c r="O37" s="24"/>
      <c r="P37" s="25" t="n">
        <v>1.0</v>
      </c>
      <c r="Q37" s="18"/>
      <c r="R37" s="14"/>
      <c r="S37" s="14"/>
      <c r="T37" s="14"/>
      <c r="U37" s="14"/>
      <c r="V37" s="14"/>
      <c r="W37" s="14"/>
      <c r="X37" s="18"/>
      <c r="Y37" s="18"/>
      <c r="Z37" s="18"/>
      <c r="AA37" s="18"/>
      <c r="AB37" s="30"/>
      <c r="AC37" s="31"/>
      <c r="AD37" s="30"/>
      <c r="AE37" s="18">
        <f>H37</f>
      </c>
      <c r="AF37" s="18">
        <f>I37</f>
      </c>
      <c r="AG37" s="18">
        <f>J37</f>
      </c>
      <c r="AH37" s="30">
        <f>L37</f>
      </c>
      <c r="AI37" s="30">
        <f>K37</f>
      </c>
      <c r="AJ37" s="18"/>
      <c r="AK37" s="23">
        <f>AE37*AG37*AF37*1/1000000</f>
      </c>
      <c r="AL37" s="33">
        <f>SQRT(H37*J37*1.05*4/3.14+183*183)</f>
      </c>
      <c r="AM37" s="30"/>
      <c r="AN37" s="30"/>
      <c r="AO37" s="30"/>
      <c r="AP37" s="22">
        <f>AH37*2</f>
      </c>
      <c r="AQ37" s="22"/>
      <c r="AR37" s="22"/>
      <c r="AS37" s="34"/>
      <c r="AT37" s="18"/>
      <c r="AU37" s="18"/>
      <c r="AV37" s="18"/>
      <c r="AW37" s="18"/>
      <c r="AX37" s="18"/>
      <c r="AY37" s="18"/>
      <c r="AZ37" s="18">
        <f>ROUNDUP(AH37/2,0)</f>
      </c>
      <c r="BA37" s="18"/>
      <c r="BB37" s="39"/>
      <c r="BC37" s="40"/>
      <c r="BD37" s="39"/>
      <c r="BE37" s="41"/>
      <c r="BF37" s="39"/>
      <c r="BG37" s="39"/>
      <c r="BH37" s="34"/>
    </row>
    <row r="38" ht="20.1" customHeight="true">
      <c r="A38" s="13"/>
      <c r="B38" s="14" t="s">
        <v>75</v>
      </c>
      <c r="C38" s="15" t="n">
        <v>17.0</v>
      </c>
      <c r="D38" s="16"/>
      <c r="E38" s="17"/>
      <c r="F38" s="18"/>
      <c r="G38" s="19"/>
      <c r="H38" s="18" t="s">
        <v>73</v>
      </c>
      <c r="I38" s="14" t="n">
        <v>1480.0</v>
      </c>
      <c r="J38" s="14" t="n">
        <v>1350.0</v>
      </c>
      <c r="K38" s="22" t="s">
        <v>74</v>
      </c>
      <c r="L38" s="14" t="n">
        <v>3.0</v>
      </c>
      <c r="M38" s="23">
        <f>L38*I38*J38/1000</f>
      </c>
      <c r="N38" s="23">
        <f>(H38/1000000)*J38*I38*1.06*L38</f>
      </c>
      <c r="O38" s="24"/>
      <c r="P38" s="25" t="n">
        <v>1.0</v>
      </c>
      <c r="Q38" s="18"/>
      <c r="R38" s="14"/>
      <c r="S38" s="14"/>
      <c r="T38" s="14"/>
      <c r="U38" s="14"/>
      <c r="V38" s="14"/>
      <c r="W38" s="14"/>
      <c r="X38" s="18"/>
      <c r="Y38" s="18"/>
      <c r="Z38" s="18"/>
      <c r="AA38" s="18"/>
      <c r="AB38" s="30"/>
      <c r="AC38" s="31"/>
      <c r="AD38" s="30"/>
      <c r="AE38" s="18">
        <f>H38</f>
      </c>
      <c r="AF38" s="18">
        <f>I38</f>
      </c>
      <c r="AG38" s="18">
        <f>J38</f>
      </c>
      <c r="AH38" s="30">
        <f>L38</f>
      </c>
      <c r="AI38" s="30">
        <f>K38</f>
      </c>
      <c r="AJ38" s="18"/>
      <c r="AK38" s="23">
        <f>AE38*AG38*AF38*1/1000000</f>
      </c>
      <c r="AL38" s="33">
        <f>SQRT(H38*J38*1.05*4/3.14+183*183)</f>
      </c>
      <c r="AM38" s="30"/>
      <c r="AN38" s="30"/>
      <c r="AO38" s="30"/>
      <c r="AP38" s="22">
        <f>AH38*2</f>
      </c>
      <c r="AQ38" s="22"/>
      <c r="AR38" s="22"/>
      <c r="AS38" s="34"/>
      <c r="AT38" s="18"/>
      <c r="AU38" s="18"/>
      <c r="AV38" s="18"/>
      <c r="AW38" s="18"/>
      <c r="AX38" s="18"/>
      <c r="AY38" s="18"/>
      <c r="AZ38" s="18">
        <f>ROUNDUP(AH38/2,0)</f>
      </c>
      <c r="BA38" s="18"/>
      <c r="BB38" s="39"/>
      <c r="BC38" s="40"/>
      <c r="BD38" s="39"/>
      <c r="BE38" s="41"/>
      <c r="BF38" s="39"/>
      <c r="BG38" s="39"/>
      <c r="BH38" s="34"/>
    </row>
    <row r="39" ht="20.1" customHeight="true">
      <c r="A39" s="13" t="n">
        <v>13.0</v>
      </c>
      <c r="B39" s="14" t="s">
        <v>77</v>
      </c>
      <c r="C39" s="15" t="n">
        <v>2.0</v>
      </c>
      <c r="D39" s="16"/>
      <c r="E39" s="17"/>
      <c r="F39" s="18"/>
      <c r="G39" s="19"/>
      <c r="H39" s="18" t="s">
        <v>73</v>
      </c>
      <c r="I39" s="14" t="n">
        <v>740.0</v>
      </c>
      <c r="J39" s="14" t="n">
        <v>1350.0</v>
      </c>
      <c r="K39" s="22" t="s">
        <v>74</v>
      </c>
      <c r="L39" s="14" t="n">
        <v>8.0</v>
      </c>
      <c r="M39" s="23">
        <f>L39*I39*J39/1000</f>
      </c>
      <c r="N39" s="23">
        <f>(H39/1000000)*J39*I39*1.06*L39</f>
      </c>
      <c r="O39" s="24" t="s">
        <v>76</v>
      </c>
      <c r="P39" s="25" t="n">
        <v>1.0</v>
      </c>
      <c r="Q39" s="18">
        <f>(4600-R39-S39-T39-U39-V39-W39)/2</f>
      </c>
      <c r="R39" s="14" t="n">
        <v>740.0</v>
      </c>
      <c r="S39" s="14" t="n">
        <v>860.0</v>
      </c>
      <c r="T39" s="14" t="n">
        <v>860.0</v>
      </c>
      <c r="U39" s="14" t="n">
        <v>860.0</v>
      </c>
      <c r="V39" s="14"/>
      <c r="W39" s="14"/>
      <c r="X39" s="18"/>
      <c r="Y39" s="18"/>
      <c r="Z39" s="18">
        <f>(4600-R39-S39-T39-U39-V39-W39)/2</f>
      </c>
      <c r="AA39" s="18" t="n">
        <v>8.0</v>
      </c>
      <c r="AB39" s="30">
        <f>R39+S39+T39+U39+V39+W39</f>
      </c>
      <c r="AC39" s="31">
        <f>AB39/4600</f>
      </c>
      <c r="AD39" s="30"/>
      <c r="AE39" s="18">
        <f>H39</f>
      </c>
      <c r="AF39" s="18">
        <f>I39</f>
      </c>
      <c r="AG39" s="18">
        <f>J39</f>
      </c>
      <c r="AH39" s="30">
        <f>L39</f>
      </c>
      <c r="AI39" s="30">
        <f>K39</f>
      </c>
      <c r="AJ39" s="18"/>
      <c r="AK39" s="23">
        <f>AE39*AG39*AF39*1/1000000</f>
      </c>
      <c r="AL39" s="33">
        <f>SQRT(H39*J39*1.05*4/3.14+183*183)</f>
      </c>
      <c r="AM39" s="30"/>
      <c r="AN39" s="30"/>
      <c r="AO39" s="30"/>
      <c r="AP39" s="22">
        <f>AH39*2</f>
      </c>
      <c r="AQ39" s="22"/>
      <c r="AR39" s="22"/>
      <c r="AS39" s="34"/>
      <c r="AT39" s="18"/>
      <c r="AU39" s="18"/>
      <c r="AV39" s="18"/>
      <c r="AW39" s="18"/>
      <c r="AX39" s="18"/>
      <c r="AY39" s="18"/>
      <c r="AZ39" s="18">
        <f>ROUNDUP(AH39/2,0)</f>
      </c>
      <c r="BA39" s="18"/>
      <c r="BB39" s="39"/>
      <c r="BC39" s="40"/>
      <c r="BD39" s="39"/>
      <c r="BE39" s="41"/>
      <c r="BF39" s="39"/>
      <c r="BG39" s="39"/>
      <c r="BH39" s="34"/>
    </row>
    <row r="40" ht="20.1" customHeight="true">
      <c r="A40" s="13"/>
      <c r="B40" s="14" t="s">
        <v>77</v>
      </c>
      <c r="C40" s="15" t="n">
        <v>5.0</v>
      </c>
      <c r="D40" s="16"/>
      <c r="E40" s="17"/>
      <c r="F40" s="18"/>
      <c r="G40" s="19"/>
      <c r="H40" s="18" t="s">
        <v>73</v>
      </c>
      <c r="I40" s="14" t="n">
        <v>860.0</v>
      </c>
      <c r="J40" s="14" t="n">
        <v>1350.0</v>
      </c>
      <c r="K40" s="22" t="s">
        <v>74</v>
      </c>
      <c r="L40" s="14" t="n">
        <v>8.0</v>
      </c>
      <c r="M40" s="23">
        <f>L40*I40*J40/1000</f>
      </c>
      <c r="N40" s="23">
        <f>(H40/1000000)*J40*I40*1.06*L40</f>
      </c>
      <c r="O40" s="24"/>
      <c r="P40" s="25" t="n">
        <v>1.0</v>
      </c>
      <c r="Q40" s="18"/>
      <c r="R40" s="14"/>
      <c r="S40" s="14"/>
      <c r="T40" s="14"/>
      <c r="U40" s="14"/>
      <c r="V40" s="14"/>
      <c r="W40" s="14"/>
      <c r="X40" s="18"/>
      <c r="Y40" s="18"/>
      <c r="Z40" s="18"/>
      <c r="AA40" s="18"/>
      <c r="AB40" s="30"/>
      <c r="AC40" s="31"/>
      <c r="AD40" s="30"/>
      <c r="AE40" s="18">
        <f>H40</f>
      </c>
      <c r="AF40" s="18">
        <f>I40</f>
      </c>
      <c r="AG40" s="18">
        <f>J40</f>
      </c>
      <c r="AH40" s="30">
        <f>L40</f>
      </c>
      <c r="AI40" s="30">
        <f>K40</f>
      </c>
      <c r="AJ40" s="18"/>
      <c r="AK40" s="23">
        <f>AE40*AG40*AF40*1/1000000</f>
      </c>
      <c r="AL40" s="33">
        <f>SQRT(H40*J40*1.05*4/3.14+183*183)</f>
      </c>
      <c r="AM40" s="30"/>
      <c r="AN40" s="30"/>
      <c r="AO40" s="30"/>
      <c r="AP40" s="22">
        <f>AH40*2</f>
      </c>
      <c r="AQ40" s="22"/>
      <c r="AR40" s="22"/>
      <c r="AS40" s="34"/>
      <c r="AT40" s="18"/>
      <c r="AU40" s="18"/>
      <c r="AV40" s="18"/>
      <c r="AW40" s="18"/>
      <c r="AX40" s="18"/>
      <c r="AY40" s="18"/>
      <c r="AZ40" s="18">
        <f>ROUNDUP(AH40/2,0)</f>
      </c>
      <c r="BA40" s="18"/>
      <c r="BB40" s="39"/>
      <c r="BC40" s="40"/>
      <c r="BD40" s="39"/>
      <c r="BE40" s="41"/>
      <c r="BF40" s="39"/>
      <c r="BG40" s="39"/>
      <c r="BH40" s="34"/>
    </row>
    <row r="41" ht="20.1" customHeight="true">
      <c r="A41" s="13"/>
      <c r="B41" s="14" t="s">
        <v>75</v>
      </c>
      <c r="C41" s="15" t="n">
        <v>6.0</v>
      </c>
      <c r="D41" s="16"/>
      <c r="E41" s="17"/>
      <c r="F41" s="18"/>
      <c r="G41" s="19"/>
      <c r="H41" s="18" t="s">
        <v>73</v>
      </c>
      <c r="I41" s="14" t="n">
        <v>860.0</v>
      </c>
      <c r="J41" s="14" t="n">
        <v>1350.0</v>
      </c>
      <c r="K41" s="22" t="s">
        <v>74</v>
      </c>
      <c r="L41" s="14" t="n">
        <v>16.0</v>
      </c>
      <c r="M41" s="23">
        <f>L41*I41*J41/1000</f>
      </c>
      <c r="N41" s="23">
        <f>(H41/1000000)*J41*I41*1.06*L41</f>
      </c>
      <c r="O41" s="24"/>
      <c r="P41" s="25" t="n">
        <v>2.0</v>
      </c>
      <c r="Q41" s="18"/>
      <c r="R41" s="14"/>
      <c r="S41" s="14"/>
      <c r="T41" s="14"/>
      <c r="U41" s="14"/>
      <c r="V41" s="14"/>
      <c r="W41" s="14"/>
      <c r="X41" s="18"/>
      <c r="Y41" s="18"/>
      <c r="Z41" s="18"/>
      <c r="AA41" s="18"/>
      <c r="AB41" s="30"/>
      <c r="AC41" s="31"/>
      <c r="AD41" s="30"/>
      <c r="AE41" s="18">
        <f>H41</f>
      </c>
      <c r="AF41" s="18">
        <f>I41</f>
      </c>
      <c r="AG41" s="18">
        <f>J41</f>
      </c>
      <c r="AH41" s="30">
        <f>L41</f>
      </c>
      <c r="AI41" s="30">
        <f>K41</f>
      </c>
      <c r="AJ41" s="18"/>
      <c r="AK41" s="23">
        <f>AE41*AG41*AF41*1/1000000</f>
      </c>
      <c r="AL41" s="33">
        <f>SQRT(H41*J41*1.05*4/3.14+183*183)</f>
      </c>
      <c r="AM41" s="30"/>
      <c r="AN41" s="30"/>
      <c r="AO41" s="30"/>
      <c r="AP41" s="22">
        <f>AH41*2</f>
      </c>
      <c r="AQ41" s="22"/>
      <c r="AR41" s="22"/>
      <c r="AS41" s="34"/>
      <c r="AT41" s="18"/>
      <c r="AU41" s="18"/>
      <c r="AV41" s="18"/>
      <c r="AW41" s="18"/>
      <c r="AX41" s="18"/>
      <c r="AY41" s="18"/>
      <c r="AZ41" s="18">
        <f>ROUNDUP(AH41/2,0)</f>
      </c>
      <c r="BA41" s="18"/>
      <c r="BB41" s="39"/>
      <c r="BC41" s="40"/>
      <c r="BD41" s="39"/>
      <c r="BE41" s="41"/>
      <c r="BF41" s="39"/>
      <c r="BG41" s="39"/>
      <c r="BH41" s="34"/>
    </row>
    <row r="42" ht="20.1" customHeight="true">
      <c r="A42" s="13" t="n">
        <v>14.0</v>
      </c>
      <c r="B42" s="14" t="s">
        <v>78</v>
      </c>
      <c r="C42" s="15" t="n">
        <v>4.0</v>
      </c>
      <c r="D42" s="16"/>
      <c r="E42" s="17"/>
      <c r="F42" s="18"/>
      <c r="G42" s="19"/>
      <c r="H42" s="18" t="s">
        <v>73</v>
      </c>
      <c r="I42" s="14" t="n">
        <v>840.0</v>
      </c>
      <c r="J42" s="14" t="n">
        <v>1350.0</v>
      </c>
      <c r="K42" s="22" t="s">
        <v>74</v>
      </c>
      <c r="L42" s="14" t="n">
        <v>21.0</v>
      </c>
      <c r="M42" s="23">
        <f>L42*I42*J42/1000</f>
      </c>
      <c r="N42" s="23">
        <f>(H42/1000000)*J42*I42*1.06*L42</f>
      </c>
      <c r="O42" s="24" t="s">
        <v>76</v>
      </c>
      <c r="P42" s="25" t="n">
        <v>3.0</v>
      </c>
      <c r="Q42" s="18">
        <f>(4600-R42-S42-T42-U42-V42-W42)/2</f>
      </c>
      <c r="R42" s="14" t="n">
        <v>840.0</v>
      </c>
      <c r="S42" s="14" t="n">
        <v>840.0</v>
      </c>
      <c r="T42" s="14" t="n">
        <v>840.0</v>
      </c>
      <c r="U42" s="14" t="n">
        <v>860.0</v>
      </c>
      <c r="V42" s="14"/>
      <c r="W42" s="14"/>
      <c r="X42" s="18"/>
      <c r="Y42" s="18"/>
      <c r="Z42" s="18">
        <f>(4600-R42-S42-T42-U42-V42-W42)/2</f>
      </c>
      <c r="AA42" s="18" t="n">
        <v>7.0</v>
      </c>
      <c r="AB42" s="30">
        <f>R42+S42+T42+U42+V42+W42</f>
      </c>
      <c r="AC42" s="31">
        <f>AB42/4600</f>
      </c>
      <c r="AD42" s="30"/>
      <c r="AE42" s="18">
        <f>H42</f>
      </c>
      <c r="AF42" s="18">
        <f>I42</f>
      </c>
      <c r="AG42" s="18">
        <f>J42</f>
      </c>
      <c r="AH42" s="30">
        <f>L42</f>
      </c>
      <c r="AI42" s="30">
        <f>K42</f>
      </c>
      <c r="AJ42" s="18"/>
      <c r="AK42" s="23">
        <f>AE42*AG42*AF42*1/1000000</f>
      </c>
      <c r="AL42" s="33">
        <f>SQRT(H42*J42*1.05*4/3.14+183*183)</f>
      </c>
      <c r="AM42" s="30"/>
      <c r="AN42" s="30"/>
      <c r="AO42" s="30"/>
      <c r="AP42" s="22">
        <f>AH42*2</f>
      </c>
      <c r="AQ42" s="22"/>
      <c r="AR42" s="22"/>
      <c r="AS42" s="34"/>
      <c r="AT42" s="18"/>
      <c r="AU42" s="18"/>
      <c r="AV42" s="18"/>
      <c r="AW42" s="18"/>
      <c r="AX42" s="18"/>
      <c r="AY42" s="18"/>
      <c r="AZ42" s="18">
        <f>ROUNDUP(AH42/2,0)</f>
      </c>
      <c r="BA42" s="18"/>
      <c r="BB42" s="39"/>
      <c r="BC42" s="40"/>
      <c r="BD42" s="39"/>
      <c r="BE42" s="41"/>
      <c r="BF42" s="39"/>
      <c r="BG42" s="39"/>
      <c r="BH42" s="34"/>
    </row>
    <row r="43" ht="20.1" customHeight="true">
      <c r="A43" s="13"/>
      <c r="B43" s="14" t="s">
        <v>75</v>
      </c>
      <c r="C43" s="15" t="n">
        <v>6.0</v>
      </c>
      <c r="D43" s="16"/>
      <c r="E43" s="17"/>
      <c r="F43" s="18"/>
      <c r="G43" s="19"/>
      <c r="H43" s="18" t="s">
        <v>73</v>
      </c>
      <c r="I43" s="14" t="n">
        <v>860.0</v>
      </c>
      <c r="J43" s="14" t="n">
        <v>1350.0</v>
      </c>
      <c r="K43" s="22" t="s">
        <v>74</v>
      </c>
      <c r="L43" s="14" t="n">
        <v>7.0</v>
      </c>
      <c r="M43" s="23">
        <f>L43*I43*J43/1000</f>
      </c>
      <c r="N43" s="23">
        <f>(H43/1000000)*J43*I43*1.06*L43</f>
      </c>
      <c r="O43" s="24"/>
      <c r="P43" s="25" t="n">
        <v>1.0</v>
      </c>
      <c r="Q43" s="18"/>
      <c r="R43" s="14"/>
      <c r="S43" s="14"/>
      <c r="T43" s="14"/>
      <c r="U43" s="14"/>
      <c r="V43" s="14"/>
      <c r="W43" s="14"/>
      <c r="X43" s="18"/>
      <c r="Y43" s="18"/>
      <c r="Z43" s="18"/>
      <c r="AA43" s="18"/>
      <c r="AB43" s="30"/>
      <c r="AC43" s="31"/>
      <c r="AD43" s="30"/>
      <c r="AE43" s="18">
        <f>H43</f>
      </c>
      <c r="AF43" s="18">
        <f>I43</f>
      </c>
      <c r="AG43" s="18">
        <f>J43</f>
      </c>
      <c r="AH43" s="30">
        <f>L43</f>
      </c>
      <c r="AI43" s="30">
        <f>K43</f>
      </c>
      <c r="AJ43" s="18"/>
      <c r="AK43" s="23">
        <f>AE43*AG43*AF43*1/1000000</f>
      </c>
      <c r="AL43" s="33">
        <f>SQRT(H43*J43*1.05*4/3.14+183*183)</f>
      </c>
      <c r="AM43" s="30"/>
      <c r="AN43" s="30"/>
      <c r="AO43" s="30"/>
      <c r="AP43" s="22">
        <f>AH43*2</f>
      </c>
      <c r="AQ43" s="22"/>
      <c r="AR43" s="22"/>
      <c r="AS43" s="34"/>
      <c r="AT43" s="18"/>
      <c r="AU43" s="18"/>
      <c r="AV43" s="18"/>
      <c r="AW43" s="18"/>
      <c r="AX43" s="18"/>
      <c r="AY43" s="18"/>
      <c r="AZ43" s="18">
        <f>ROUNDUP(AH43/2,0)</f>
      </c>
      <c r="BA43" s="18"/>
      <c r="BB43" s="39"/>
      <c r="BC43" s="40"/>
      <c r="BD43" s="39"/>
      <c r="BE43" s="41"/>
      <c r="BF43" s="39"/>
      <c r="BG43" s="39"/>
      <c r="BH43" s="34"/>
    </row>
  </sheetData>
  <mergeCells count="61">
    <mergeCell ref="A1:AF1"/>
    <mergeCell ref="A2:BC2"/>
    <mergeCell ref="R4:W4"/>
    <mergeCell ref="AT4:AV4"/>
    <mergeCell ref="AX4:AY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  <mergeCell ref="A6:A7"/>
    <mergeCell ref="O6:O7"/>
    <mergeCell ref="A8:A10"/>
    <mergeCell ref="O8:O10"/>
    <mergeCell ref="A11:A13"/>
    <mergeCell ref="O11:O13"/>
    <mergeCell ref="A14:A16"/>
    <mergeCell ref="O14:O16"/>
    <mergeCell ref="A17:A18"/>
    <mergeCell ref="O17:O18"/>
    <mergeCell ref="A19:A20"/>
    <mergeCell ref="O19:O20"/>
    <mergeCell ref="A21:A23"/>
    <mergeCell ref="O21:O23"/>
    <mergeCell ref="A24:A26"/>
    <mergeCell ref="O24:O26"/>
    <mergeCell ref="A27:A29"/>
    <mergeCell ref="O27:O29"/>
    <mergeCell ref="A30:A32"/>
    <mergeCell ref="O30:O32"/>
    <mergeCell ref="A33:A35"/>
    <mergeCell ref="O33:O35"/>
    <mergeCell ref="A36:A38"/>
    <mergeCell ref="O36:O38"/>
    <mergeCell ref="A39:A41"/>
    <mergeCell ref="O39:O41"/>
    <mergeCell ref="A42:A43"/>
    <mergeCell ref="O42:O43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2025-10-20T01:42:00Z</dcterms:created>
  <dc:creator>admin</dc:creator>
  <cp:lastModifiedBy>安心</cp:lastModifiedBy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